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er\Downloads\"/>
    </mc:Choice>
  </mc:AlternateContent>
  <xr:revisionPtr revIDLastSave="0" documentId="13_ncr:1_{16248BD1-D780-4475-A41E-D5A400FA2518}" xr6:coauthVersionLast="47" xr6:coauthVersionMax="47" xr10:uidLastSave="{00000000-0000-0000-0000-000000000000}"/>
  <bookViews>
    <workbookView xWindow="-51630" yWindow="-1005" windowWidth="21600" windowHeight="12645" activeTab="1" xr2:uid="{00000000-000D-0000-FFFF-FFFF00000000}"/>
  </bookViews>
  <sheets>
    <sheet name="Variabelliste - informasjon" sheetId="1" r:id="rId1"/>
    <sheet name="Variabler - Velg variabler" sheetId="6" r:id="rId2"/>
    <sheet name="Kodelister" sheetId="5" r:id="rId3"/>
    <sheet name="Variabeldefinisjoner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6" l="1"/>
  <c r="E28" i="6"/>
  <c r="E27" i="6"/>
  <c r="E26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33" i="6" l="1"/>
  <c r="E32" i="6"/>
  <c r="E31" i="6"/>
  <c r="M11" i="6"/>
  <c r="M13" i="6"/>
  <c r="M14" i="6" s="1"/>
  <c r="M15" i="6" s="1"/>
  <c r="A35" i="6"/>
  <c r="F9" i="6" l="1"/>
  <c r="F10" i="6" s="1"/>
  <c r="C2" i="1"/>
  <c r="F28" i="6" l="1"/>
  <c r="F27" i="6"/>
  <c r="F26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33" i="6" l="1"/>
  <c r="F32" i="6"/>
  <c r="F31" i="6"/>
</calcChain>
</file>

<file path=xl/sharedStrings.xml><?xml version="1.0" encoding="utf-8"?>
<sst xmlns="http://schemas.openxmlformats.org/spreadsheetml/2006/main" count="190" uniqueCount="151">
  <si>
    <t>VARIABELLISTE - INFORMASJON</t>
  </si>
  <si>
    <t>Statistikkområde:</t>
  </si>
  <si>
    <t>Elektrisitetsstatistikken på ssb.no</t>
  </si>
  <si>
    <t>Dokumentasjon:</t>
  </si>
  <si>
    <t>Omfang:</t>
  </si>
  <si>
    <t>Data samles inn fra Elhub og inneholder informasjon om alle strømmålepunkt  for produksjon og forbruk i Norge.</t>
  </si>
  <si>
    <t>Referanseperiode:</t>
  </si>
  <si>
    <t>Datasett finnes løpende fra mai 2019 per måned og per år</t>
  </si>
  <si>
    <t>Enhet:</t>
  </si>
  <si>
    <t>Målepunkt</t>
  </si>
  <si>
    <t>Dispensasjon:</t>
  </si>
  <si>
    <t xml:space="preserve">SSB er dispensasjonsgiver for alle variablene i denne listen. </t>
  </si>
  <si>
    <t>OPPGI INFORMASJON:</t>
  </si>
  <si>
    <t>Dato for innsending av bestilling:</t>
  </si>
  <si>
    <t>*</t>
  </si>
  <si>
    <t>Prosjektnavn:</t>
  </si>
  <si>
    <t>Institusjon:</t>
  </si>
  <si>
    <t>Utfylt av:</t>
  </si>
  <si>
    <t>SSB saksnummer:</t>
  </si>
  <si>
    <t>Oppgis hvis du har mottatt det fra SSB.</t>
  </si>
  <si>
    <t>Angi om databestillingen inkluderer</t>
  </si>
  <si>
    <t>Nyere data kan foreligge på avtaletidspunktet.</t>
  </si>
  <si>
    <t>siste tilgjengelige årganger (Ja/Nei):</t>
  </si>
  <si>
    <t>Evt. kommentarer til SSB:</t>
  </si>
  <si>
    <r>
      <rPr>
        <sz val="10"/>
        <color rgb="FFFF0000"/>
        <rFont val="Roboto Condensed"/>
      </rPr>
      <t>*</t>
    </r>
    <r>
      <rPr>
        <sz val="10"/>
        <color theme="1"/>
        <rFont val="Roboto Condensed"/>
      </rPr>
      <t xml:space="preserve"> Obligatoriske felt</t>
    </r>
  </si>
  <si>
    <t>Gå til variabelliste og velg variabler</t>
  </si>
  <si>
    <t>Statistisk sentralbyrå</t>
  </si>
  <si>
    <t>Intern informasjon</t>
  </si>
  <si>
    <t>Variabelbeskrivelse</t>
  </si>
  <si>
    <t>Oppgi perioden du ønsker data for</t>
  </si>
  <si>
    <t>Variabelnavn</t>
  </si>
  <si>
    <t>Definisjoner</t>
  </si>
  <si>
    <t>Gjeldende
kodeliste</t>
  </si>
  <si>
    <t>Fra år:</t>
  </si>
  <si>
    <t>Til år:</t>
  </si>
  <si>
    <t xml:space="preserve">Tilgjengelig fra </t>
  </si>
  <si>
    <t xml:space="preserve">Tilgjengelige til </t>
  </si>
  <si>
    <t xml:space="preserve">Tabellnavn som leveres </t>
  </si>
  <si>
    <t>Finnes på microdata.no</t>
  </si>
  <si>
    <t>Førstelinje</t>
  </si>
  <si>
    <t>Kommentarer</t>
  </si>
  <si>
    <t>Hjelpe celler</t>
  </si>
  <si>
    <t>$ELPROD/elhub/wk8/markedsoppdrag</t>
  </si>
  <si>
    <t xml:space="preserve">ELHUB </t>
  </si>
  <si>
    <t>wxx_xxxx_elhub_åååå/wxx_xxxx_elhub_åååå_mm</t>
  </si>
  <si>
    <t>For personer</t>
  </si>
  <si>
    <t>dagens dato</t>
  </si>
  <si>
    <t>Periode for datasettet (år eller måned)</t>
  </si>
  <si>
    <t>PERIODE</t>
  </si>
  <si>
    <t>2019M05</t>
  </si>
  <si>
    <t>Målepunkt ID</t>
  </si>
  <si>
    <t>wXX_XXXX_lopenr_malepunkt</t>
  </si>
  <si>
    <t>Definisjon</t>
  </si>
  <si>
    <t>Ja</t>
  </si>
  <si>
    <t>år</t>
  </si>
  <si>
    <t>Måleenhet (kWh)</t>
  </si>
  <si>
    <t>ENHET</t>
  </si>
  <si>
    <t>Avregningsmetode</t>
  </si>
  <si>
    <t>AVREGMETODE</t>
  </si>
  <si>
    <t>Kodeliste</t>
  </si>
  <si>
    <t>Måned nå</t>
  </si>
  <si>
    <t>Type målepunkt</t>
  </si>
  <si>
    <t>TYPE_MALEPUNKT</t>
  </si>
  <si>
    <t>Type strømforbruk</t>
  </si>
  <si>
    <t>UNDERTYPE_FORB_MALEPUNKT</t>
  </si>
  <si>
    <t>Type strømproduksjon</t>
  </si>
  <si>
    <t>UNDERTYPE_PROD_MALEPUNKT</t>
  </si>
  <si>
    <t>Innhentingsmetode</t>
  </si>
  <si>
    <t>INNHENTINGSMETODE</t>
  </si>
  <si>
    <t xml:space="preserve">Cellene over bergener tilgjengelig til kolonnen </t>
  </si>
  <si>
    <t>Kontraktstype forbruk</t>
  </si>
  <si>
    <t>KONTRAKTSTYPE_FORB</t>
  </si>
  <si>
    <t>Merk de filer vi har tilgjengelig er de vi får gi ut</t>
  </si>
  <si>
    <t>Status målepunktet</t>
  </si>
  <si>
    <t>MALEPUNKT_STATUS</t>
  </si>
  <si>
    <t xml:space="preserve">Sluttbruker id for målepunktet. </t>
  </si>
  <si>
    <t>wXX_XXXX_lopenr_person/wXX_XXXX_lopenr_orgnr</t>
  </si>
  <si>
    <t>Næringskode. For målepunkt knyttet til husholdning, hytter og fritidseiendom mfl. er det egen kode.</t>
  </si>
  <si>
    <t>SN07_1</t>
  </si>
  <si>
    <t>Kraftleverandør (GLN-nummer)</t>
  </si>
  <si>
    <t>wXX_XXXX_lopenr_kraftlever</t>
  </si>
  <si>
    <t>Nettselskap (GLN-nummer)</t>
  </si>
  <si>
    <t>wXX_XXXX_lopenr_nettsel</t>
  </si>
  <si>
    <t>Spotprisområde</t>
  </si>
  <si>
    <t>PRISOMRADE</t>
  </si>
  <si>
    <t> </t>
  </si>
  <si>
    <t xml:space="preserve">Produksjon, forbruk og installert effekt </t>
  </si>
  <si>
    <t>Installert effekt i kW</t>
  </si>
  <si>
    <t>INST_EFFEKT</t>
  </si>
  <si>
    <t>Produksjon av strøm i kWh</t>
  </si>
  <si>
    <t>KRAFTPRODUKSJON</t>
  </si>
  <si>
    <t>Strømforbruk i kWh</t>
  </si>
  <si>
    <t>STROMFORBRUK</t>
  </si>
  <si>
    <t>Adresseinformasjon tilknyttet målepunktet</t>
  </si>
  <si>
    <t>MÅ BEGRUNNES</t>
  </si>
  <si>
    <t>Postnummer til målepunktet</t>
  </si>
  <si>
    <t>MALEPUNKT_ADR_POSTNR</t>
  </si>
  <si>
    <t>Poststed til målepunkt</t>
  </si>
  <si>
    <t>MALEPUNKT_ADR_POSTSTED</t>
  </si>
  <si>
    <t>Kommunenummer til målepunktet</t>
  </si>
  <si>
    <t>MALEPUNKT_ADR_KOMMUNE</t>
  </si>
  <si>
    <t>Kodelister</t>
  </si>
  <si>
    <t>E01 Profiled</t>
  </si>
  <si>
    <t>E02 Non-profiled</t>
  </si>
  <si>
    <t>E17 - Forbruk</t>
  </si>
  <si>
    <t>E18 - Produksjon</t>
  </si>
  <si>
    <t>E19 - Kombinert</t>
  </si>
  <si>
    <t>A04 Consumption</t>
  </si>
  <si>
    <t>A07 Net production/consumption (combined pumped storage)</t>
  </si>
  <si>
    <t>A15 Losses settled as consumption. Intended for the metering point representing the loss in a sub grid area to make the total grid loss 0. Consumption values on this metering point will still be considered as consumption and not as loss in calculations</t>
  </si>
  <si>
    <t>B27 Pumped</t>
  </si>
  <si>
    <t>B14 Nuclear</t>
  </si>
  <si>
    <t>B16 Solar</t>
  </si>
  <si>
    <t>B20 Other</t>
  </si>
  <si>
    <t>Z04 Thermal</t>
  </si>
  <si>
    <t>Z05 Wind</t>
  </si>
  <si>
    <t>Z06 Hydro</t>
  </si>
  <si>
    <t>E13 Automatisk</t>
  </si>
  <si>
    <t>E14 Manuell</t>
  </si>
  <si>
    <t>E16 Umålt</t>
  </si>
  <si>
    <t>P - Priority (Not interruptible)</t>
  </si>
  <si>
    <t>A – Interruptible, 2 hours notice</t>
  </si>
  <si>
    <t>B – Interruptible, 12 hours notice</t>
  </si>
  <si>
    <t>C – Interruptible, 15 minutes notice</t>
  </si>
  <si>
    <t>D – Interruptible, 15 minutes notice, limited duration up to 2 hours</t>
  </si>
  <si>
    <t>E22 - Active</t>
  </si>
  <si>
    <t>E23 - Inactive</t>
  </si>
  <si>
    <t>E31 - Terminated</t>
  </si>
  <si>
    <t>Inneholder næringskode som beskrevet i Standard for næringsgruppering, eller en av de følgende næringskodene nedenfor.</t>
  </si>
  <si>
    <t>XX – Husholdning</t>
  </si>
  <si>
    <t>XY - Hytter og fritidseiendom</t>
  </si>
  <si>
    <t>YY – Gatelys</t>
  </si>
  <si>
    <t>YZ – Drivhus</t>
  </si>
  <si>
    <t>ZZ - Annet energisalg</t>
  </si>
  <si>
    <t>NO1</t>
  </si>
  <si>
    <t>NO2</t>
  </si>
  <si>
    <t>NO3</t>
  </si>
  <si>
    <t>NO4</t>
  </si>
  <si>
    <t>NO5</t>
  </si>
  <si>
    <t>Vær oppmerksom på at det i perioden mai 2019 til og med desember 2019 ble det brukt en annen kode for de fem strømprisområdene. Nedenfor er mapping mellom de gamle og nye kodene for strømprisområde:</t>
  </si>
  <si>
    <t>Omkoding for variabelen PRISOMRÅDE</t>
  </si>
  <si>
    <t>10YNO-1--------2</t>
  </si>
  <si>
    <t>10YNO-2--------T</t>
  </si>
  <si>
    <t>10YNO-3--------J</t>
  </si>
  <si>
    <t>10YNO-4--------9</t>
  </si>
  <si>
    <t>10Y1001A1001A48H</t>
  </si>
  <si>
    <t>MALEPUNKT_ID</t>
  </si>
  <si>
    <t xml:space="preserve">Unik identifikator for målepunktet. Består av 18 siffer hvor av de ti første starter med Norges landskode, 7070575000 og de åtte siste er unike for måleren. </t>
  </si>
  <si>
    <t>SLUTTBR_ID</t>
  </si>
  <si>
    <t>Inneholder enten fødselsnummer, d-nummer eller organisasjonsnummer på foretaksnivå. Det er kraftleverandør som innhenter dette som en del av kontraktinngåelsesprosessen.</t>
  </si>
  <si>
    <t>Sist oppdatert 18.03.2025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</si>
</sst>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0"/>
      <name val="Arial"/>
      <family val="2"/>
    </font>
    <font>
      <b/>
      <sz val="13"/>
      <color theme="0"/>
      <name val="Arial"/>
      <family val="2"/>
    </font>
    <font>
      <b/>
      <sz val="13"/>
      <name val="Arial"/>
      <family val="2"/>
    </font>
    <font>
      <i/>
      <sz val="11"/>
      <color rgb="FF7F7F7F"/>
      <name val="Calibri"/>
      <family val="2"/>
      <scheme val="minor"/>
    </font>
    <font>
      <i/>
      <sz val="10"/>
      <color rgb="FF7F7F7F"/>
      <name val="Arial"/>
      <family val="2"/>
    </font>
    <font>
      <sz val="11"/>
      <color rgb="FF003892"/>
      <name val="Roboto Condensed"/>
    </font>
    <font>
      <sz val="11"/>
      <color theme="1"/>
      <name val="Roboto Condensed"/>
    </font>
    <font>
      <sz val="20"/>
      <color theme="1"/>
      <name val="Roboto Condensed"/>
    </font>
    <font>
      <sz val="10"/>
      <color theme="1"/>
      <name val="Roboto Condensed"/>
    </font>
    <font>
      <b/>
      <sz val="10"/>
      <color theme="1"/>
      <name val="Roboto Condensed"/>
    </font>
    <font>
      <b/>
      <sz val="10"/>
      <name val="Roboto Condensed"/>
    </font>
    <font>
      <sz val="10"/>
      <name val="Roboto Condensed"/>
    </font>
    <font>
      <u/>
      <sz val="10"/>
      <color theme="10"/>
      <name val="Roboto Condensed"/>
    </font>
    <font>
      <b/>
      <sz val="13"/>
      <color theme="0"/>
      <name val="Roboto Condensed"/>
    </font>
    <font>
      <b/>
      <sz val="13"/>
      <name val="Roboto Condensed"/>
    </font>
    <font>
      <b/>
      <sz val="15"/>
      <name val="Roboto Condensed"/>
    </font>
    <font>
      <sz val="10"/>
      <color rgb="FF3F3F3F"/>
      <name val="Roboto Condensed"/>
    </font>
    <font>
      <sz val="11"/>
      <color rgb="FFFF0000"/>
      <name val="Roboto Condensed"/>
    </font>
    <font>
      <i/>
      <sz val="10"/>
      <color rgb="FF7F7F7F"/>
      <name val="Roboto Condensed"/>
    </font>
    <font>
      <sz val="10"/>
      <color rgb="FFFF0000"/>
      <name val="Roboto Condensed"/>
    </font>
    <font>
      <b/>
      <sz val="18"/>
      <color theme="3"/>
      <name val="Roboto Condensed"/>
    </font>
    <font>
      <sz val="18"/>
      <color theme="3"/>
      <name val="Roboto Condensed"/>
    </font>
    <font>
      <sz val="11"/>
      <name val="Roboto Condensed"/>
    </font>
    <font>
      <u/>
      <sz val="10"/>
      <color rgb="FFFF0000"/>
      <name val="Roboto Condensed"/>
    </font>
    <font>
      <u/>
      <sz val="10"/>
      <name val="Roboto Condensed"/>
    </font>
    <font>
      <b/>
      <sz val="10"/>
      <color theme="1"/>
      <name val="Arial"/>
      <family val="2"/>
    </font>
    <font>
      <sz val="8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Roboto Condensed"/>
    </font>
    <font>
      <sz val="10"/>
      <color rgb="FF000000"/>
      <name val="Roboto Condensed"/>
    </font>
  </fonts>
  <fills count="1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DCE6F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E3F1E6"/>
        <bgColor rgb="FF000000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theme="4" tint="0.39994506668294322"/>
      </top>
      <bottom style="hair">
        <color theme="4" tint="0.39994506668294322"/>
      </bottom>
      <diagonal/>
    </border>
    <border>
      <left/>
      <right style="thin">
        <color indexed="64"/>
      </right>
      <top style="hair">
        <color theme="4" tint="0.39994506668294322"/>
      </top>
      <bottom style="hair">
        <color theme="4" tint="0.39994506668294322"/>
      </bottom>
      <diagonal/>
    </border>
    <border>
      <left style="thin">
        <color indexed="64"/>
      </left>
      <right/>
      <top style="hair">
        <color theme="4" tint="0.39994506668294322"/>
      </top>
      <bottom style="hair">
        <color theme="4" tint="0.399945066682943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theme="4" tint="0.39994506668294322"/>
      </bottom>
      <diagonal/>
    </border>
    <border>
      <left/>
      <right style="thin">
        <color indexed="64"/>
      </right>
      <top/>
      <bottom style="hair">
        <color theme="4" tint="0.39994506668294322"/>
      </bottom>
      <diagonal/>
    </border>
    <border>
      <left/>
      <right/>
      <top style="hair">
        <color rgb="FFBCE0BE"/>
      </top>
      <bottom style="hair">
        <color rgb="FFBCE0BE"/>
      </bottom>
      <diagonal/>
    </border>
    <border>
      <left/>
      <right/>
      <top/>
      <bottom style="hair">
        <color rgb="FFBCE0BE"/>
      </bottom>
      <diagonal/>
    </border>
  </borders>
  <cellStyleXfs count="15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2" borderId="4" applyNumberFormat="0" applyAlignment="0" applyProtection="0"/>
    <xf numFmtId="0" fontId="2" fillId="4" borderId="0" applyNumberFormat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2" fillId="5" borderId="0" applyNumberFormat="0" applyBorder="0" applyAlignment="0" applyProtection="0"/>
    <xf numFmtId="0" fontId="12" fillId="0" borderId="0" applyNumberFormat="0" applyFill="0" applyBorder="0" applyAlignment="0" applyProtection="0"/>
    <xf numFmtId="0" fontId="10" fillId="3" borderId="0" applyBorder="0">
      <alignment horizontal="center" vertical="center"/>
      <protection locked="0"/>
    </xf>
    <xf numFmtId="0" fontId="13" fillId="4" borderId="0">
      <alignment horizontal="left" vertical="top" wrapText="1"/>
    </xf>
    <xf numFmtId="0" fontId="11" fillId="4" borderId="0"/>
    <xf numFmtId="0" fontId="9" fillId="4" borderId="0">
      <alignment vertical="top"/>
    </xf>
    <xf numFmtId="0" fontId="1" fillId="4" borderId="0" applyNumberFormat="0" applyBorder="0" applyAlignment="0" applyProtection="0"/>
  </cellStyleXfs>
  <cellXfs count="145">
    <xf numFmtId="0" fontId="0" fillId="0" borderId="0" xfId="0"/>
    <xf numFmtId="0" fontId="19" fillId="7" borderId="0" xfId="2" applyFont="1" applyFill="1" applyBorder="1" applyProtection="1"/>
    <xf numFmtId="0" fontId="15" fillId="8" borderId="11" xfId="0" applyFont="1" applyFill="1" applyBorder="1" applyProtection="1">
      <protection locked="0"/>
    </xf>
    <xf numFmtId="0" fontId="15" fillId="8" borderId="10" xfId="0" applyFont="1" applyFill="1" applyBorder="1" applyProtection="1">
      <protection locked="0"/>
    </xf>
    <xf numFmtId="0" fontId="25" fillId="0" borderId="7" xfId="4" applyFont="1" applyFill="1" applyBorder="1" applyAlignment="1" applyProtection="1">
      <alignment vertical="top"/>
    </xf>
    <xf numFmtId="0" fontId="25" fillId="0" borderId="8" xfId="4" applyFont="1" applyFill="1" applyBorder="1" applyAlignment="1" applyProtection="1">
      <alignment vertical="top"/>
    </xf>
    <xf numFmtId="0" fontId="25" fillId="0" borderId="12" xfId="4" applyFont="1" applyFill="1" applyBorder="1" applyAlignment="1" applyProtection="1">
      <alignment vertical="top"/>
    </xf>
    <xf numFmtId="0" fontId="20" fillId="0" borderId="8" xfId="4" applyFont="1" applyFill="1" applyBorder="1" applyAlignment="1" applyProtection="1">
      <alignment vertical="top"/>
    </xf>
    <xf numFmtId="0" fontId="25" fillId="0" borderId="0" xfId="4" applyFont="1" applyFill="1" applyBorder="1" applyAlignment="1" applyProtection="1">
      <alignment vertical="top"/>
    </xf>
    <xf numFmtId="0" fontId="15" fillId="10" borderId="0" xfId="5" applyFont="1" applyFill="1" applyBorder="1" applyProtection="1"/>
    <xf numFmtId="0" fontId="15" fillId="11" borderId="0" xfId="5" applyFont="1" applyFill="1" applyBorder="1" applyProtection="1"/>
    <xf numFmtId="0" fontId="16" fillId="11" borderId="0" xfId="5" applyFont="1" applyFill="1" applyBorder="1" applyProtection="1"/>
    <xf numFmtId="0" fontId="29" fillId="10" borderId="5" xfId="7" applyFont="1" applyFill="1" applyBorder="1" applyAlignment="1" applyProtection="1">
      <alignment vertical="center"/>
    </xf>
    <xf numFmtId="0" fontId="15" fillId="10" borderId="0" xfId="0" applyFont="1" applyFill="1"/>
    <xf numFmtId="0" fontId="30" fillId="10" borderId="0" xfId="7" applyFont="1" applyFill="1" applyBorder="1" applyAlignment="1" applyProtection="1">
      <alignment vertical="center"/>
    </xf>
    <xf numFmtId="0" fontId="15" fillId="10" borderId="0" xfId="5" applyFont="1" applyFill="1" applyBorder="1" applyAlignment="1" applyProtection="1"/>
    <xf numFmtId="0" fontId="15" fillId="10" borderId="0" xfId="5" applyFont="1" applyFill="1" applyBorder="1" applyAlignment="1" applyProtection="1">
      <alignment horizontal="left"/>
    </xf>
    <xf numFmtId="0" fontId="17" fillId="10" borderId="0" xfId="0" applyFont="1" applyFill="1" applyAlignment="1">
      <alignment horizontal="right"/>
    </xf>
    <xf numFmtId="0" fontId="15" fillId="13" borderId="0" xfId="5" applyFont="1" applyFill="1" applyBorder="1" applyProtection="1"/>
    <xf numFmtId="0" fontId="16" fillId="13" borderId="0" xfId="5" applyFont="1" applyFill="1" applyBorder="1" applyProtection="1"/>
    <xf numFmtId="0" fontId="15" fillId="11" borderId="0" xfId="8" applyFont="1" applyFill="1" applyBorder="1" applyProtection="1"/>
    <xf numFmtId="0" fontId="15" fillId="9" borderId="6" xfId="5" applyFont="1" applyFill="1" applyBorder="1" applyProtection="1"/>
    <xf numFmtId="0" fontId="15" fillId="9" borderId="0" xfId="5" applyFont="1" applyFill="1" applyBorder="1" applyProtection="1"/>
    <xf numFmtId="0" fontId="15" fillId="9" borderId="0" xfId="5" applyFont="1" applyFill="1" applyBorder="1" applyAlignment="1" applyProtection="1"/>
    <xf numFmtId="0" fontId="19" fillId="9" borderId="0" xfId="3" applyFont="1" applyFill="1" applyBorder="1" applyAlignment="1" applyProtection="1">
      <alignment vertical="top"/>
    </xf>
    <xf numFmtId="0" fontId="17" fillId="9" borderId="0" xfId="5" applyFont="1" applyFill="1" applyBorder="1" applyProtection="1"/>
    <xf numFmtId="0" fontId="17" fillId="9" borderId="0" xfId="5" applyFont="1" applyFill="1" applyBorder="1" applyAlignment="1" applyProtection="1">
      <alignment horizontal="left"/>
    </xf>
    <xf numFmtId="0" fontId="15" fillId="9" borderId="0" xfId="5" applyFont="1" applyFill="1" applyBorder="1" applyAlignment="1" applyProtection="1">
      <alignment horizontal="left"/>
    </xf>
    <xf numFmtId="0" fontId="21" fillId="9" borderId="0" xfId="6" applyFont="1" applyFill="1" applyBorder="1" applyProtection="1"/>
    <xf numFmtId="0" fontId="17" fillId="9" borderId="0" xfId="5" applyFont="1" applyFill="1" applyBorder="1" applyAlignment="1" applyProtection="1">
      <alignment horizontal="left" wrapText="1"/>
    </xf>
    <xf numFmtId="0" fontId="23" fillId="9" borderId="0" xfId="1" applyFont="1" applyFill="1" applyBorder="1" applyAlignment="1" applyProtection="1"/>
    <xf numFmtId="0" fontId="24" fillId="9" borderId="0" xfId="1" applyFont="1" applyFill="1" applyBorder="1" applyAlignment="1" applyProtection="1"/>
    <xf numFmtId="0" fontId="26" fillId="9" borderId="0" xfId="5" applyFont="1" applyFill="1" applyBorder="1" applyAlignment="1" applyProtection="1">
      <alignment horizontal="left"/>
    </xf>
    <xf numFmtId="0" fontId="17" fillId="9" borderId="0" xfId="5" applyFont="1" applyFill="1" applyBorder="1" applyAlignment="1" applyProtection="1">
      <alignment horizontal="right"/>
    </xf>
    <xf numFmtId="0" fontId="26" fillId="8" borderId="11" xfId="0" applyFont="1" applyFill="1" applyBorder="1" applyProtection="1">
      <protection locked="0"/>
    </xf>
    <xf numFmtId="0" fontId="26" fillId="8" borderId="10" xfId="0" applyFont="1" applyFill="1" applyBorder="1" applyProtection="1">
      <protection locked="0"/>
    </xf>
    <xf numFmtId="0" fontId="26" fillId="10" borderId="0" xfId="0" applyFont="1" applyFill="1"/>
    <xf numFmtId="0" fontId="31" fillId="8" borderId="11" xfId="0" applyFont="1" applyFill="1" applyBorder="1" applyProtection="1">
      <protection locked="0"/>
    </xf>
    <xf numFmtId="0" fontId="31" fillId="8" borderId="10" xfId="0" applyFont="1" applyFill="1" applyBorder="1" applyProtection="1">
      <protection locked="0"/>
    </xf>
    <xf numFmtId="0" fontId="31" fillId="10" borderId="0" xfId="0" applyFont="1" applyFill="1"/>
    <xf numFmtId="0" fontId="7" fillId="9" borderId="0" xfId="6" applyFill="1" applyBorder="1" applyProtection="1"/>
    <xf numFmtId="0" fontId="34" fillId="0" borderId="0" xfId="0" applyFont="1"/>
    <xf numFmtId="0" fontId="19" fillId="12" borderId="0" xfId="2" applyFont="1" applyFill="1" applyBorder="1" applyAlignment="1" applyProtection="1">
      <alignment wrapText="1"/>
    </xf>
    <xf numFmtId="0" fontId="15" fillId="11" borderId="0" xfId="14" applyFont="1" applyFill="1" applyBorder="1" applyAlignment="1" applyProtection="1">
      <alignment horizontal="left" vertical="center"/>
    </xf>
    <xf numFmtId="0" fontId="15" fillId="11" borderId="0" xfId="14" applyFont="1" applyFill="1" applyBorder="1" applyProtection="1"/>
    <xf numFmtId="0" fontId="15" fillId="11" borderId="0" xfId="14" applyFont="1" applyFill="1" applyBorder="1" applyAlignment="1" applyProtection="1">
      <alignment horizontal="center" vertical="center" wrapText="1"/>
    </xf>
    <xf numFmtId="0" fontId="17" fillId="11" borderId="0" xfId="14" applyFont="1" applyFill="1" applyBorder="1" applyProtection="1"/>
    <xf numFmtId="0" fontId="15" fillId="7" borderId="0" xfId="14" applyFont="1" applyFill="1" applyBorder="1" applyAlignment="1" applyProtection="1">
      <alignment horizontal="left" vertical="center"/>
    </xf>
    <xf numFmtId="0" fontId="15" fillId="7" borderId="0" xfId="14" applyFont="1" applyFill="1" applyBorder="1" applyProtection="1"/>
    <xf numFmtId="0" fontId="17" fillId="7" borderId="0" xfId="14" applyFont="1" applyFill="1" applyBorder="1" applyProtection="1"/>
    <xf numFmtId="0" fontId="18" fillId="9" borderId="0" xfId="14" applyFont="1" applyFill="1" applyBorder="1" applyAlignment="1" applyProtection="1">
      <alignment horizontal="center" vertical="center" wrapText="1"/>
    </xf>
    <xf numFmtId="0" fontId="17" fillId="9" borderId="0" xfId="14" applyFont="1" applyFill="1" applyBorder="1" applyProtection="1"/>
    <xf numFmtId="0" fontId="20" fillId="0" borderId="14" xfId="1" applyFont="1" applyFill="1" applyBorder="1" applyAlignment="1" applyProtection="1">
      <alignment horizontal="center"/>
    </xf>
    <xf numFmtId="0" fontId="18" fillId="9" borderId="0" xfId="14" applyFont="1" applyFill="1" applyBorder="1" applyAlignment="1" applyProtection="1">
      <alignment wrapText="1"/>
    </xf>
    <xf numFmtId="0" fontId="15" fillId="13" borderId="0" xfId="14" applyFont="1" applyFill="1" applyBorder="1" applyAlignment="1" applyProtection="1">
      <alignment horizontal="left" vertical="center"/>
    </xf>
    <xf numFmtId="0" fontId="15" fillId="13" borderId="5" xfId="14" applyFont="1" applyFill="1" applyBorder="1" applyProtection="1"/>
    <xf numFmtId="0" fontId="15" fillId="13" borderId="0" xfId="14" applyFont="1" applyFill="1" applyBorder="1" applyProtection="1"/>
    <xf numFmtId="0" fontId="15" fillId="13" borderId="0" xfId="14" applyFont="1" applyFill="1" applyBorder="1" applyAlignment="1" applyProtection="1">
      <alignment horizontal="center" vertical="center" wrapText="1"/>
    </xf>
    <xf numFmtId="0" fontId="17" fillId="13" borderId="0" xfId="14" applyFont="1" applyFill="1" applyBorder="1" applyProtection="1"/>
    <xf numFmtId="0" fontId="31" fillId="8" borderId="15" xfId="0" applyFont="1" applyFill="1" applyBorder="1" applyProtection="1">
      <protection locked="0"/>
    </xf>
    <xf numFmtId="0" fontId="31" fillId="8" borderId="16" xfId="0" applyFont="1" applyFill="1" applyBorder="1" applyProtection="1">
      <protection locked="0"/>
    </xf>
    <xf numFmtId="0" fontId="28" fillId="9" borderId="0" xfId="14" applyFont="1" applyFill="1" applyBorder="1" applyProtection="1"/>
    <xf numFmtId="0" fontId="20" fillId="9" borderId="0" xfId="14" applyFont="1" applyFill="1" applyBorder="1" applyProtection="1"/>
    <xf numFmtId="0" fontId="17" fillId="10" borderId="0" xfId="0" applyFont="1" applyFill="1" applyAlignment="1">
      <alignment horizontal="left" vertical="center"/>
    </xf>
    <xf numFmtId="0" fontId="15" fillId="10" borderId="0" xfId="0" applyFont="1" applyFill="1" applyAlignment="1">
      <alignment horizontal="left" vertical="center"/>
    </xf>
    <xf numFmtId="0" fontId="20" fillId="12" borderId="9" xfId="6" applyFont="1" applyFill="1" applyBorder="1" applyProtection="1"/>
    <xf numFmtId="0" fontId="15" fillId="10" borderId="0" xfId="0" applyFont="1" applyFill="1" applyAlignment="1">
      <alignment horizontal="center" vertical="center" wrapText="1"/>
    </xf>
    <xf numFmtId="0" fontId="20" fillId="12" borderId="0" xfId="6" applyFont="1" applyFill="1" applyBorder="1" applyAlignment="1" applyProtection="1">
      <alignment horizontal="center" vertical="center" wrapText="1"/>
    </xf>
    <xf numFmtId="0" fontId="20" fillId="12" borderId="9" xfId="6" applyFont="1" applyFill="1" applyBorder="1" applyAlignment="1" applyProtection="1">
      <alignment horizontal="center" vertical="center" wrapText="1"/>
    </xf>
    <xf numFmtId="0" fontId="17" fillId="10" borderId="0" xfId="0" applyFont="1" applyFill="1" applyAlignment="1">
      <alignment horizontal="center" vertical="center" wrapText="1"/>
    </xf>
    <xf numFmtId="0" fontId="33" fillId="12" borderId="0" xfId="6" applyFont="1" applyFill="1" applyBorder="1" applyAlignment="1" applyProtection="1">
      <alignment horizontal="left" vertical="center"/>
    </xf>
    <xf numFmtId="0" fontId="21" fillId="12" borderId="9" xfId="6" applyFont="1" applyFill="1" applyBorder="1" applyProtection="1"/>
    <xf numFmtId="0" fontId="21" fillId="12" borderId="9" xfId="6" applyFont="1" applyFill="1" applyBorder="1" applyAlignment="1" applyProtection="1">
      <alignment horizontal="left"/>
    </xf>
    <xf numFmtId="0" fontId="32" fillId="12" borderId="9" xfId="6" applyFont="1" applyFill="1" applyBorder="1" applyProtection="1"/>
    <xf numFmtId="0" fontId="33" fillId="12" borderId="9" xfId="6" applyFont="1" applyFill="1" applyBorder="1" applyAlignment="1" applyProtection="1">
      <alignment horizontal="left"/>
    </xf>
    <xf numFmtId="0" fontId="7" fillId="12" borderId="9" xfId="6" applyFill="1" applyBorder="1" applyProtection="1"/>
    <xf numFmtId="0" fontId="33" fillId="12" borderId="9" xfId="6" applyFont="1" applyFill="1" applyBorder="1" applyProtection="1"/>
    <xf numFmtId="0" fontId="32" fillId="12" borderId="9" xfId="6" applyFont="1" applyFill="1" applyBorder="1" applyAlignment="1" applyProtection="1">
      <alignment horizontal="left" vertical="center"/>
    </xf>
    <xf numFmtId="0" fontId="21" fillId="12" borderId="9" xfId="6" applyFont="1" applyFill="1" applyBorder="1" applyAlignment="1" applyProtection="1">
      <alignment horizontal="left" vertical="center"/>
    </xf>
    <xf numFmtId="0" fontId="7" fillId="12" borderId="9" xfId="6" applyFill="1" applyBorder="1" applyAlignment="1" applyProtection="1">
      <alignment horizontal="left"/>
    </xf>
    <xf numFmtId="0" fontId="33" fillId="12" borderId="9" xfId="6" applyFont="1" applyFill="1" applyBorder="1" applyAlignment="1" applyProtection="1">
      <alignment horizontal="left" vertical="center"/>
    </xf>
    <xf numFmtId="0" fontId="21" fillId="12" borderId="0" xfId="6" applyFont="1" applyFill="1" applyBorder="1" applyAlignment="1" applyProtection="1">
      <alignment horizontal="left" vertical="center"/>
    </xf>
    <xf numFmtId="0" fontId="7" fillId="12" borderId="0" xfId="6" applyFill="1" applyBorder="1" applyAlignment="1" applyProtection="1">
      <alignment horizontal="left" vertical="center"/>
    </xf>
    <xf numFmtId="0" fontId="20" fillId="12" borderId="0" xfId="6" applyFont="1" applyFill="1" applyBorder="1" applyAlignment="1" applyProtection="1">
      <alignment horizontal="left" vertical="center"/>
    </xf>
    <xf numFmtId="0" fontId="7" fillId="12" borderId="0" xfId="6" applyFill="1" applyProtection="1"/>
    <xf numFmtId="0" fontId="20" fillId="12" borderId="9" xfId="6" applyFont="1" applyFill="1" applyBorder="1" applyAlignment="1" applyProtection="1">
      <alignment horizontal="left" vertical="center"/>
    </xf>
    <xf numFmtId="0" fontId="20" fillId="12" borderId="0" xfId="6" applyFont="1" applyFill="1" applyBorder="1" applyAlignment="1" applyProtection="1">
      <alignment wrapText="1"/>
    </xf>
    <xf numFmtId="0" fontId="20" fillId="12" borderId="0" xfId="6" applyFont="1" applyFill="1" applyBorder="1" applyProtection="1"/>
    <xf numFmtId="0" fontId="33" fillId="12" borderId="0" xfId="6" applyFont="1" applyFill="1" applyBorder="1" applyProtection="1"/>
    <xf numFmtId="0" fontId="21" fillId="12" borderId="0" xfId="6" applyFont="1" applyFill="1" applyBorder="1" applyProtection="1"/>
    <xf numFmtId="0" fontId="7" fillId="12" borderId="0" xfId="6" applyFill="1" applyBorder="1" applyProtection="1"/>
    <xf numFmtId="0" fontId="17" fillId="10" borderId="0" xfId="0" applyFont="1" applyFill="1"/>
    <xf numFmtId="0" fontId="16" fillId="10" borderId="5" xfId="0" applyFont="1" applyFill="1" applyBorder="1"/>
    <xf numFmtId="0" fontId="16" fillId="10" borderId="0" xfId="0" applyFont="1" applyFill="1"/>
    <xf numFmtId="0" fontId="17" fillId="9" borderId="0" xfId="5" applyFont="1" applyFill="1" applyBorder="1" applyAlignment="1" applyProtection="1">
      <alignment vertical="top" wrapText="1"/>
    </xf>
    <xf numFmtId="0" fontId="25" fillId="0" borderId="12" xfId="4" applyFont="1" applyFill="1" applyBorder="1" applyAlignment="1" applyProtection="1">
      <alignment horizontal="left" vertical="top"/>
    </xf>
    <xf numFmtId="0" fontId="25" fillId="0" borderId="8" xfId="4" applyFont="1" applyFill="1" applyBorder="1" applyAlignment="1" applyProtection="1">
      <alignment horizontal="left" vertical="top"/>
    </xf>
    <xf numFmtId="0" fontId="36" fillId="0" borderId="0" xfId="0" applyFont="1"/>
    <xf numFmtId="0" fontId="37" fillId="0" borderId="0" xfId="0" applyFont="1"/>
    <xf numFmtId="0" fontId="38" fillId="0" borderId="0" xfId="0" applyFont="1"/>
    <xf numFmtId="0" fontId="40" fillId="14" borderId="0" xfId="0" applyFont="1" applyFill="1"/>
    <xf numFmtId="0" fontId="7" fillId="12" borderId="9" xfId="6" applyFill="1" applyBorder="1" applyAlignment="1" applyProtection="1">
      <alignment horizontal="left" vertical="center"/>
    </xf>
    <xf numFmtId="0" fontId="20" fillId="14" borderId="18" xfId="0" applyFont="1" applyFill="1" applyBorder="1"/>
    <xf numFmtId="0" fontId="17" fillId="12" borderId="13" xfId="0" applyFont="1" applyFill="1" applyBorder="1" applyAlignment="1">
      <alignment horizontal="center" vertical="center" wrapText="1"/>
    </xf>
    <xf numFmtId="0" fontId="20" fillId="7" borderId="0" xfId="0" applyFont="1" applyFill="1"/>
    <xf numFmtId="0" fontId="20" fillId="14" borderId="18" xfId="0" applyFont="1" applyFill="1" applyBorder="1" applyAlignment="1">
      <alignment wrapText="1"/>
    </xf>
    <xf numFmtId="0" fontId="40" fillId="14" borderId="18" xfId="0" applyFont="1" applyFill="1" applyBorder="1"/>
    <xf numFmtId="0" fontId="19" fillId="14" borderId="18" xfId="0" applyFont="1" applyFill="1" applyBorder="1"/>
    <xf numFmtId="0" fontId="20" fillId="12" borderId="13" xfId="0" applyFont="1" applyFill="1" applyBorder="1" applyAlignment="1">
      <alignment horizontal="center" vertical="center" wrapText="1"/>
    </xf>
    <xf numFmtId="0" fontId="17" fillId="7" borderId="0" xfId="0" applyFont="1" applyFill="1"/>
    <xf numFmtId="0" fontId="28" fillId="7" borderId="0" xfId="0" applyFont="1" applyFill="1"/>
    <xf numFmtId="0" fontId="39" fillId="14" borderId="18" xfId="0" applyFont="1" applyFill="1" applyBorder="1"/>
    <xf numFmtId="0" fontId="17" fillId="12" borderId="13" xfId="0" applyFont="1" applyFill="1" applyBorder="1"/>
    <xf numFmtId="0" fontId="20" fillId="14" borderId="17" xfId="0" applyFont="1" applyFill="1" applyBorder="1"/>
    <xf numFmtId="14" fontId="20" fillId="7" borderId="0" xfId="0" applyNumberFormat="1" applyFont="1" applyFill="1"/>
    <xf numFmtId="0" fontId="18" fillId="7" borderId="0" xfId="0" applyFont="1" applyFill="1" applyAlignment="1">
      <alignment wrapText="1"/>
    </xf>
    <xf numFmtId="0" fontId="18" fillId="7" borderId="0" xfId="0" applyFont="1" applyFill="1" applyAlignment="1">
      <alignment horizontal="center" vertical="center" wrapText="1"/>
    </xf>
    <xf numFmtId="0" fontId="15" fillId="7" borderId="0" xfId="0" applyFont="1" applyFill="1"/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wrapText="1"/>
    </xf>
    <xf numFmtId="0" fontId="18" fillId="12" borderId="9" xfId="0" applyFont="1" applyFill="1" applyBorder="1" applyAlignment="1">
      <alignment horizontal="left" vertical="center"/>
    </xf>
    <xf numFmtId="0" fontId="31" fillId="12" borderId="8" xfId="0" applyFont="1" applyFill="1" applyBorder="1"/>
    <xf numFmtId="0" fontId="37" fillId="0" borderId="0" xfId="0" applyFont="1" applyAlignment="1">
      <alignment wrapText="1"/>
    </xf>
    <xf numFmtId="0" fontId="0" fillId="0" borderId="0" xfId="0" applyAlignment="1">
      <alignment wrapText="1"/>
    </xf>
    <xf numFmtId="0" fontId="14" fillId="10" borderId="5" xfId="0" applyFont="1" applyFill="1" applyBorder="1" applyAlignment="1">
      <alignment horizontal="center"/>
    </xf>
    <xf numFmtId="0" fontId="14" fillId="10" borderId="0" xfId="0" applyFont="1" applyFill="1" applyAlignment="1">
      <alignment horizontal="center"/>
    </xf>
    <xf numFmtId="0" fontId="27" fillId="9" borderId="0" xfId="9" applyFont="1" applyFill="1" applyBorder="1" applyAlignment="1" applyProtection="1">
      <alignment horizontal="left" vertical="top" wrapText="1"/>
    </xf>
    <xf numFmtId="0" fontId="27" fillId="4" borderId="0" xfId="9" applyFont="1" applyFill="1" applyBorder="1" applyAlignment="1" applyProtection="1">
      <alignment horizontal="left" vertical="top" wrapText="1"/>
    </xf>
    <xf numFmtId="0" fontId="15" fillId="0" borderId="0" xfId="0" applyFont="1" applyAlignment="1" applyProtection="1">
      <alignment horizontal="left" vertical="top" wrapText="1"/>
      <protection locked="0"/>
    </xf>
    <xf numFmtId="0" fontId="22" fillId="11" borderId="0" xfId="6" applyFont="1" applyFill="1" applyBorder="1" applyAlignment="1" applyProtection="1">
      <alignment horizontal="center" vertical="center"/>
    </xf>
    <xf numFmtId="0" fontId="22" fillId="11" borderId="7" xfId="6" applyFont="1" applyFill="1" applyBorder="1" applyAlignment="1" applyProtection="1">
      <alignment horizontal="center" vertical="center"/>
    </xf>
    <xf numFmtId="14" fontId="15" fillId="0" borderId="0" xfId="0" applyNumberFormat="1" applyFont="1" applyAlignment="1" applyProtection="1">
      <alignment horizontal="left" vertical="top"/>
      <protection locked="0"/>
    </xf>
    <xf numFmtId="0" fontId="15" fillId="0" borderId="8" xfId="0" applyFont="1" applyBorder="1" applyAlignment="1" applyProtection="1">
      <alignment horizontal="left" vertical="top"/>
      <protection locked="0"/>
    </xf>
    <xf numFmtId="0" fontId="15" fillId="0" borderId="5" xfId="0" applyFont="1" applyBorder="1" applyAlignment="1" applyProtection="1">
      <alignment horizontal="left" vertical="top" wrapText="1"/>
      <protection locked="0"/>
    </xf>
    <xf numFmtId="0" fontId="15" fillId="0" borderId="8" xfId="0" applyFont="1" applyBorder="1" applyAlignment="1" applyProtection="1">
      <alignment horizontal="left" vertical="top" wrapText="1"/>
      <protection locked="0"/>
    </xf>
    <xf numFmtId="0" fontId="15" fillId="0" borderId="0" xfId="0" applyFont="1" applyAlignment="1" applyProtection="1">
      <alignment horizontal="left" vertical="top"/>
      <protection locked="0"/>
    </xf>
    <xf numFmtId="0" fontId="15" fillId="0" borderId="5" xfId="0" applyFont="1" applyBorder="1" applyAlignment="1" applyProtection="1">
      <alignment horizontal="left" vertical="top"/>
      <protection locked="0"/>
    </xf>
    <xf numFmtId="0" fontId="19" fillId="12" borderId="0" xfId="2" applyFont="1" applyFill="1" applyBorder="1" applyAlignment="1" applyProtection="1">
      <alignment wrapText="1"/>
    </xf>
    <xf numFmtId="0" fontId="17" fillId="0" borderId="0" xfId="0" applyFont="1"/>
    <xf numFmtId="0" fontId="14" fillId="10" borderId="5" xfId="0" applyFont="1" applyFill="1" applyBorder="1" applyAlignment="1">
      <alignment horizontal="left" vertical="center"/>
    </xf>
    <xf numFmtId="0" fontId="14" fillId="10" borderId="0" xfId="0" applyFont="1" applyFill="1" applyAlignment="1">
      <alignment horizontal="left" vertical="center"/>
    </xf>
    <xf numFmtId="0" fontId="19" fillId="12" borderId="0" xfId="2" applyFont="1" applyFill="1" applyBorder="1" applyAlignment="1" applyProtection="1">
      <alignment horizontal="left"/>
    </xf>
    <xf numFmtId="0" fontId="19" fillId="6" borderId="0" xfId="2" applyFont="1" applyFill="1" applyBorder="1" applyAlignment="1" applyProtection="1">
      <alignment horizontal="left"/>
    </xf>
    <xf numFmtId="0" fontId="20" fillId="0" borderId="14" xfId="1" applyFont="1" applyFill="1" applyBorder="1" applyAlignment="1" applyProtection="1">
      <alignment horizontal="center" vertical="top" wrapText="1"/>
    </xf>
    <xf numFmtId="0" fontId="18" fillId="9" borderId="0" xfId="14" applyFont="1" applyFill="1" applyBorder="1" applyAlignment="1" applyProtection="1"/>
  </cellXfs>
  <cellStyles count="15">
    <cellStyle name="20 % – uthevingsfarge 1" xfId="5" builtinId="30"/>
    <cellStyle name="20% - Accent1 2" xfId="14" xr:uid="{888A452A-E30B-4123-A0DA-8A7FAFEEEA3E}"/>
    <cellStyle name="40 % – uthevingsfarge 1" xfId="8" builtinId="31"/>
    <cellStyle name="Bestillingsskjema knapp" xfId="10" xr:uid="{00000000-0005-0000-0000-000002000000}"/>
    <cellStyle name="Bestillingsskjema overskrift 1" xfId="12" xr:uid="{00000000-0005-0000-0000-000003000000}"/>
    <cellStyle name="Bestillingsskjema overskrift 2" xfId="13" xr:uid="{00000000-0005-0000-0000-000004000000}"/>
    <cellStyle name="Bestillingsskjema tilleggsinfo" xfId="11" xr:uid="{00000000-0005-0000-0000-000005000000}"/>
    <cellStyle name="Forklarende tekst" xfId="9" builtinId="53"/>
    <cellStyle name="Hyperkobling" xfId="6" builtinId="8" customBuiltin="1"/>
    <cellStyle name="Normal" xfId="0" builtinId="0" customBuiltin="1"/>
    <cellStyle name="Overskrift 1" xfId="1" builtinId="16"/>
    <cellStyle name="Overskrift 2" xfId="2" builtinId="17"/>
    <cellStyle name="Overskrift 3" xfId="3" builtinId="18"/>
    <cellStyle name="Tittel" xfId="7" builtinId="15"/>
    <cellStyle name="Utdata" xfId="4" builtinId="21"/>
  </cellStyles>
  <dxfs count="17"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</font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3E8601"/>
      <color rgb="FFBDDB9B"/>
      <color rgb="FF808080"/>
      <color rgb="FFD4D4D4"/>
      <color rgb="FFF2F2F2"/>
      <color rgb="FFF6F9FC"/>
      <color rgb="FFECF2F8"/>
      <color rgb="FFFFFFCC"/>
      <color rgb="FFDCE6F1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2</xdr:col>
      <xdr:colOff>35129</xdr:colOff>
      <xdr:row>2</xdr:row>
      <xdr:rowOff>128366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96A8EC7A-815E-43B3-9E60-5D6F56646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150"/>
          <a:ext cx="3025979" cy="7855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95249</xdr:colOff>
      <xdr:row>0</xdr:row>
      <xdr:rowOff>55616</xdr:rowOff>
    </xdr:from>
    <xdr:to>
      <xdr:col>0</xdr:col>
      <xdr:colOff>3209924</xdr:colOff>
      <xdr:row>2</xdr:row>
      <xdr:rowOff>143198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BE636C85-03EC-4431-91D2-D2599B6FA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49" y="55616"/>
          <a:ext cx="3114675" cy="8019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1SSB">
      <a:dk1>
        <a:sysClr val="windowText" lastClr="000000"/>
      </a:dk1>
      <a:lt1>
        <a:sysClr val="window" lastClr="FFFFFF"/>
      </a:lt1>
      <a:dk2>
        <a:srgbClr val="274247"/>
      </a:dk2>
      <a:lt2>
        <a:srgbClr val="E7ECEC"/>
      </a:lt2>
      <a:accent1>
        <a:srgbClr val="90CC93"/>
      </a:accent1>
      <a:accent2>
        <a:srgbClr val="E3F1E6"/>
      </a:accent2>
      <a:accent3>
        <a:srgbClr val="F2F2F2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1">
    <pageSetUpPr fitToPage="1"/>
  </sheetPr>
  <dimension ref="A1:F36"/>
  <sheetViews>
    <sheetView showGridLines="0" zoomScaleNormal="100" workbookViewId="0">
      <selection activeCell="C17" sqref="C17:C18"/>
    </sheetView>
  </sheetViews>
  <sheetFormatPr baseColWidth="10" defaultColWidth="11.42578125" defaultRowHeight="15" x14ac:dyDescent="0.25"/>
  <cols>
    <col min="1" max="1" width="14" style="13" customWidth="1"/>
    <col min="2" max="2" width="30.85546875" style="13" bestFit="1" customWidth="1"/>
    <col min="3" max="3" width="53.5703125" style="13" customWidth="1"/>
    <col min="4" max="4" width="14.5703125" style="13" customWidth="1"/>
    <col min="5" max="5" width="16.5703125" style="13" bestFit="1" customWidth="1"/>
    <col min="6" max="6" width="5.5703125" style="13" customWidth="1"/>
    <col min="7" max="16384" width="11.42578125" style="13"/>
  </cols>
  <sheetData>
    <row r="1" spans="1:6" ht="26.25" x14ac:dyDescent="0.4">
      <c r="A1" s="124"/>
      <c r="B1" s="124"/>
      <c r="C1" s="12" t="s">
        <v>0</v>
      </c>
      <c r="D1" s="92"/>
      <c r="F1" s="9"/>
    </row>
    <row r="2" spans="1:6" ht="30" customHeight="1" x14ac:dyDescent="0.4">
      <c r="A2" s="125"/>
      <c r="B2" s="125"/>
      <c r="C2" s="14" t="str">
        <f>C5</f>
        <v>Elektrisitetsstatistikken på ssb.no</v>
      </c>
      <c r="D2" s="93"/>
      <c r="F2" s="9"/>
    </row>
    <row r="3" spans="1:6" ht="15" customHeight="1" x14ac:dyDescent="0.4">
      <c r="A3" s="10"/>
      <c r="B3" s="11"/>
      <c r="C3" s="10"/>
      <c r="D3" s="10"/>
      <c r="E3" s="10"/>
      <c r="F3" s="9"/>
    </row>
    <row r="4" spans="1:6" ht="15" customHeight="1" x14ac:dyDescent="0.25">
      <c r="A4" s="21"/>
      <c r="B4" s="22"/>
      <c r="C4" s="22"/>
      <c r="D4" s="23"/>
      <c r="E4" s="23"/>
      <c r="F4" s="15"/>
    </row>
    <row r="5" spans="1:6" x14ac:dyDescent="0.25">
      <c r="A5" s="21"/>
      <c r="B5" s="24" t="s">
        <v>1</v>
      </c>
      <c r="C5" s="100" t="s">
        <v>2</v>
      </c>
      <c r="D5" s="23"/>
      <c r="E5" s="23"/>
      <c r="F5" s="15"/>
    </row>
    <row r="6" spans="1:6" x14ac:dyDescent="0.25">
      <c r="A6" s="21"/>
      <c r="B6" s="24"/>
      <c r="C6" s="26"/>
      <c r="D6" s="26"/>
      <c r="E6" s="27"/>
      <c r="F6" s="16"/>
    </row>
    <row r="7" spans="1:6" x14ac:dyDescent="0.25">
      <c r="A7" s="21"/>
      <c r="B7" s="24" t="s">
        <v>3</v>
      </c>
      <c r="C7" s="40"/>
      <c r="D7" s="28"/>
      <c r="E7" s="27"/>
      <c r="F7" s="16"/>
    </row>
    <row r="8" spans="1:6" x14ac:dyDescent="0.25">
      <c r="A8" s="21"/>
      <c r="B8" s="24" t="s">
        <v>4</v>
      </c>
      <c r="C8" s="100" t="s">
        <v>5</v>
      </c>
      <c r="D8" s="26"/>
      <c r="E8" s="27"/>
      <c r="F8" s="16"/>
    </row>
    <row r="9" spans="1:6" x14ac:dyDescent="0.25">
      <c r="A9" s="21"/>
      <c r="B9" s="24" t="s">
        <v>6</v>
      </c>
      <c r="C9" s="100" t="s">
        <v>7</v>
      </c>
      <c r="D9" s="26"/>
      <c r="E9" s="27"/>
      <c r="F9" s="16"/>
    </row>
    <row r="10" spans="1:6" x14ac:dyDescent="0.25">
      <c r="A10" s="21"/>
      <c r="B10" s="24" t="s">
        <v>8</v>
      </c>
      <c r="C10" s="25" t="s">
        <v>9</v>
      </c>
      <c r="D10" s="29"/>
      <c r="E10" s="27"/>
      <c r="F10" s="16"/>
    </row>
    <row r="11" spans="1:6" x14ac:dyDescent="0.25">
      <c r="A11" s="21"/>
      <c r="B11" s="24"/>
      <c r="C11" s="22"/>
      <c r="D11" s="27"/>
      <c r="E11" s="27"/>
      <c r="F11" s="16"/>
    </row>
    <row r="12" spans="1:6" x14ac:dyDescent="0.25">
      <c r="A12" s="21"/>
      <c r="B12" s="24" t="s">
        <v>10</v>
      </c>
      <c r="C12" s="94" t="s">
        <v>11</v>
      </c>
      <c r="D12" s="27"/>
      <c r="E12" s="27"/>
      <c r="F12" s="16"/>
    </row>
    <row r="13" spans="1:6" ht="15" customHeight="1" x14ac:dyDescent="0.25">
      <c r="A13" s="22"/>
      <c r="B13" s="22"/>
      <c r="C13" s="22"/>
      <c r="D13" s="27"/>
      <c r="E13" s="27"/>
      <c r="F13" s="16"/>
    </row>
    <row r="14" spans="1:6" ht="15.75" customHeight="1" x14ac:dyDescent="0.4">
      <c r="A14" s="18"/>
      <c r="B14" s="19"/>
      <c r="C14" s="18"/>
      <c r="D14" s="18"/>
      <c r="E14" s="18"/>
      <c r="F14" s="9"/>
    </row>
    <row r="15" spans="1:6" ht="15" customHeight="1" x14ac:dyDescent="0.25">
      <c r="A15" s="21"/>
      <c r="B15" s="22"/>
      <c r="C15" s="22"/>
      <c r="D15" s="22"/>
      <c r="E15" s="27"/>
      <c r="F15" s="16"/>
    </row>
    <row r="16" spans="1:6" ht="19.5" x14ac:dyDescent="0.3">
      <c r="A16" s="21"/>
      <c r="B16" s="30" t="s">
        <v>12</v>
      </c>
      <c r="C16" s="31"/>
      <c r="D16" s="22"/>
      <c r="E16" s="27"/>
      <c r="F16" s="16"/>
    </row>
    <row r="17" spans="1:6" x14ac:dyDescent="0.25">
      <c r="A17" s="21"/>
      <c r="B17" s="4" t="s">
        <v>13</v>
      </c>
      <c r="C17" s="131"/>
      <c r="D17" s="32" t="s">
        <v>14</v>
      </c>
      <c r="E17" s="22"/>
      <c r="F17" s="9"/>
    </row>
    <row r="18" spans="1:6" ht="14.25" customHeight="1" x14ac:dyDescent="0.25">
      <c r="A18" s="21"/>
      <c r="B18" s="5"/>
      <c r="C18" s="132"/>
      <c r="D18" s="32"/>
      <c r="E18" s="22"/>
      <c r="F18" s="9"/>
    </row>
    <row r="19" spans="1:6" x14ac:dyDescent="0.25">
      <c r="A19" s="21"/>
      <c r="B19" s="4" t="s">
        <v>15</v>
      </c>
      <c r="C19" s="133"/>
      <c r="D19" s="32" t="s">
        <v>14</v>
      </c>
      <c r="E19" s="22"/>
      <c r="F19" s="9"/>
    </row>
    <row r="20" spans="1:6" ht="14.25" customHeight="1" x14ac:dyDescent="0.25">
      <c r="A20" s="21"/>
      <c r="B20" s="5"/>
      <c r="C20" s="134"/>
      <c r="D20" s="32"/>
      <c r="E20" s="22"/>
      <c r="F20" s="9"/>
    </row>
    <row r="21" spans="1:6" x14ac:dyDescent="0.25">
      <c r="A21" s="21"/>
      <c r="B21" s="4" t="s">
        <v>16</v>
      </c>
      <c r="C21" s="135"/>
      <c r="D21" s="32" t="s">
        <v>14</v>
      </c>
      <c r="E21" s="22"/>
      <c r="F21" s="9"/>
    </row>
    <row r="22" spans="1:6" ht="14.25" customHeight="1" x14ac:dyDescent="0.25">
      <c r="A22" s="21"/>
      <c r="B22" s="5"/>
      <c r="C22" s="132"/>
      <c r="D22" s="32"/>
      <c r="E22" s="22"/>
      <c r="F22" s="9"/>
    </row>
    <row r="23" spans="1:6" x14ac:dyDescent="0.25">
      <c r="A23" s="21"/>
      <c r="B23" s="6" t="s">
        <v>17</v>
      </c>
      <c r="C23" s="136"/>
      <c r="D23" s="32" t="s">
        <v>14</v>
      </c>
      <c r="E23" s="22"/>
      <c r="F23" s="9"/>
    </row>
    <row r="24" spans="1:6" ht="14.25" customHeight="1" x14ac:dyDescent="0.25">
      <c r="A24" s="21"/>
      <c r="B24" s="5"/>
      <c r="C24" s="132"/>
      <c r="D24" s="32"/>
      <c r="E24" s="22"/>
      <c r="F24" s="9"/>
    </row>
    <row r="25" spans="1:6" x14ac:dyDescent="0.25">
      <c r="A25" s="21"/>
      <c r="B25" s="6" t="s">
        <v>18</v>
      </c>
      <c r="C25" s="136"/>
      <c r="D25" s="126" t="s">
        <v>19</v>
      </c>
      <c r="E25" s="127"/>
      <c r="F25" s="9"/>
    </row>
    <row r="26" spans="1:6" ht="14.25" customHeight="1" x14ac:dyDescent="0.25">
      <c r="A26" s="21"/>
      <c r="B26" s="7"/>
      <c r="C26" s="132"/>
      <c r="D26" s="127"/>
      <c r="E26" s="127"/>
      <c r="F26" s="9"/>
    </row>
    <row r="27" spans="1:6" ht="14.25" customHeight="1" x14ac:dyDescent="0.25">
      <c r="A27" s="21"/>
      <c r="B27" s="95" t="s">
        <v>20</v>
      </c>
      <c r="C27" s="133"/>
      <c r="D27" s="126" t="s">
        <v>21</v>
      </c>
      <c r="E27" s="127"/>
      <c r="F27" s="9"/>
    </row>
    <row r="28" spans="1:6" ht="18" customHeight="1" x14ac:dyDescent="0.25">
      <c r="A28" s="21"/>
      <c r="B28" s="96" t="s">
        <v>22</v>
      </c>
      <c r="C28" s="134"/>
      <c r="D28" s="127"/>
      <c r="E28" s="127"/>
      <c r="F28" s="9"/>
    </row>
    <row r="29" spans="1:6" x14ac:dyDescent="0.25">
      <c r="A29" s="21"/>
      <c r="B29" s="4" t="s">
        <v>23</v>
      </c>
      <c r="C29" s="128"/>
      <c r="D29" s="27"/>
      <c r="E29" s="22"/>
      <c r="F29" s="9"/>
    </row>
    <row r="30" spans="1:6" ht="65.25" customHeight="1" x14ac:dyDescent="0.25">
      <c r="A30" s="21"/>
      <c r="B30" s="8"/>
      <c r="C30" s="128"/>
      <c r="D30" s="27"/>
      <c r="E30" s="22"/>
      <c r="F30" s="9"/>
    </row>
    <row r="31" spans="1:6" x14ac:dyDescent="0.25">
      <c r="A31" s="21"/>
      <c r="B31" s="25"/>
      <c r="C31" s="33" t="s">
        <v>24</v>
      </c>
      <c r="D31" s="22"/>
      <c r="E31" s="22"/>
      <c r="F31" s="9"/>
    </row>
    <row r="32" spans="1:6" ht="26.25" customHeight="1" x14ac:dyDescent="0.25">
      <c r="A32" s="21"/>
      <c r="B32" s="25"/>
      <c r="C32" s="25"/>
      <c r="D32" s="22"/>
      <c r="E32" s="22"/>
      <c r="F32" s="9"/>
    </row>
    <row r="33" spans="1:6" ht="36" customHeight="1" x14ac:dyDescent="0.25">
      <c r="A33" s="21"/>
      <c r="B33" s="129" t="s">
        <v>25</v>
      </c>
      <c r="C33" s="130"/>
      <c r="D33" s="22"/>
      <c r="E33" s="22"/>
      <c r="F33" s="9"/>
    </row>
    <row r="34" spans="1:6" ht="15" customHeight="1" x14ac:dyDescent="0.25">
      <c r="A34" s="22"/>
      <c r="B34" s="22"/>
      <c r="C34" s="22"/>
      <c r="D34" s="22"/>
      <c r="E34" s="22"/>
      <c r="F34" s="9"/>
    </row>
    <row r="35" spans="1:6" ht="15" customHeight="1" x14ac:dyDescent="0.4">
      <c r="A35" s="20"/>
      <c r="B35" s="11"/>
      <c r="C35" s="10"/>
      <c r="D35" s="10"/>
      <c r="E35" s="10"/>
      <c r="F35" s="9"/>
    </row>
    <row r="36" spans="1:6" x14ac:dyDescent="0.25">
      <c r="A36" s="91" t="s">
        <v>150</v>
      </c>
      <c r="B36" s="17"/>
      <c r="C36" s="17"/>
      <c r="D36" s="17"/>
      <c r="E36" s="17" t="s">
        <v>26</v>
      </c>
    </row>
  </sheetData>
  <sheetProtection algorithmName="SHA-512" hashValue="T7582j3cEL5m2fsbklMn+J60tFLXs8do1AUU5PxVJwGcRCdpFaXjko4Qdfre2by3xl4oY+4NgrRZSOr0n8nrOA==" saltValue="46UF/1ZeUrPvjrNtN8hhjg==" spinCount="100000" sheet="1" selectLockedCells="1"/>
  <mergeCells count="11">
    <mergeCell ref="A1:B2"/>
    <mergeCell ref="D25:E26"/>
    <mergeCell ref="C29:C30"/>
    <mergeCell ref="B33:C33"/>
    <mergeCell ref="C17:C18"/>
    <mergeCell ref="C19:C20"/>
    <mergeCell ref="C21:C22"/>
    <mergeCell ref="C23:C24"/>
    <mergeCell ref="C25:C26"/>
    <mergeCell ref="C27:C28"/>
    <mergeCell ref="D27:E28"/>
  </mergeCells>
  <hyperlinks>
    <hyperlink ref="B33" location="'Bestillingsliste variable'!A1" display="Gå til bestillingsliste for variable" xr:uid="{00000000-0004-0000-0000-000000000000}"/>
    <hyperlink ref="B33:C33" location="'Variabler - Velg variabler'!A1" display="Gå til variabelliste og velg variabler" xr:uid="{00000000-0004-0000-0000-000001000000}"/>
  </hyperlinks>
  <pageMargins left="0.7" right="0.7" top="0.75" bottom="0.75" header="0.3" footer="0.3"/>
  <pageSetup paperSize="9"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F7CDA-7A04-44E1-BD2D-BA789C92FFD6}">
  <dimension ref="A1:M35"/>
  <sheetViews>
    <sheetView tabSelected="1" zoomScaleNormal="100" workbookViewId="0">
      <selection activeCell="M1" sqref="M1:M1048576"/>
    </sheetView>
  </sheetViews>
  <sheetFormatPr baseColWidth="10" defaultColWidth="11.42578125" defaultRowHeight="15" x14ac:dyDescent="0.25"/>
  <cols>
    <col min="1" max="1" width="70.7109375" style="64" bestFit="1" customWidth="1"/>
    <col min="2" max="3" width="7.85546875" style="13" customWidth="1"/>
    <col min="4" max="4" width="40.28515625" style="13" bestFit="1" customWidth="1"/>
    <col min="5" max="5" width="10.140625" style="66" customWidth="1"/>
    <col min="6" max="6" width="11.28515625" style="66" customWidth="1"/>
    <col min="7" max="7" width="12.42578125" style="13" customWidth="1"/>
    <col min="8" max="8" width="11.140625" style="13" customWidth="1"/>
    <col min="9" max="9" width="38.85546875" style="13" customWidth="1"/>
    <col min="10" max="10" width="14.7109375" style="91" customWidth="1"/>
    <col min="11" max="11" width="31.28515625" style="13" hidden="1" customWidth="1"/>
    <col min="12" max="12" width="50.85546875" style="13" hidden="1" customWidth="1"/>
    <col min="13" max="13" width="42.140625" style="13" hidden="1" customWidth="1"/>
    <col min="14" max="16384" width="11.42578125" style="13"/>
  </cols>
  <sheetData>
    <row r="1" spans="1:13" ht="26.25" x14ac:dyDescent="0.4">
      <c r="A1" s="139"/>
      <c r="C1" s="92"/>
      <c r="J1" s="13"/>
    </row>
    <row r="2" spans="1:13" ht="30" customHeight="1" x14ac:dyDescent="0.4">
      <c r="A2" s="140"/>
      <c r="C2" s="93"/>
      <c r="J2" s="13"/>
    </row>
    <row r="3" spans="1:13" ht="14.25" customHeight="1" x14ac:dyDescent="0.25">
      <c r="A3" s="43"/>
      <c r="B3" s="44"/>
      <c r="C3" s="44"/>
      <c r="D3" s="44"/>
      <c r="E3" s="45"/>
      <c r="F3" s="45"/>
      <c r="G3" s="44"/>
      <c r="H3" s="44"/>
      <c r="I3" s="44"/>
      <c r="J3" s="46"/>
      <c r="K3" s="44"/>
      <c r="L3" s="44"/>
      <c r="M3" s="44"/>
    </row>
    <row r="4" spans="1:13" ht="26.25" hidden="1" customHeight="1" x14ac:dyDescent="0.25">
      <c r="A4" s="47"/>
      <c r="B4" s="48"/>
      <c r="C4" s="48"/>
      <c r="D4" s="115" t="s">
        <v>27</v>
      </c>
      <c r="E4" s="116"/>
      <c r="F4" s="116"/>
      <c r="G4" s="48"/>
      <c r="H4" s="48"/>
      <c r="I4" s="48"/>
      <c r="J4" s="49"/>
      <c r="K4" s="115"/>
      <c r="L4" s="115"/>
      <c r="M4" s="115"/>
    </row>
    <row r="5" spans="1:13" ht="29.25" customHeight="1" x14ac:dyDescent="0.25">
      <c r="A5" s="141" t="s">
        <v>28</v>
      </c>
      <c r="B5" s="143" t="s">
        <v>29</v>
      </c>
      <c r="C5" s="143"/>
      <c r="D5" s="144" t="s">
        <v>30</v>
      </c>
      <c r="E5" s="50"/>
      <c r="F5" s="50"/>
      <c r="G5" s="137" t="s">
        <v>31</v>
      </c>
      <c r="H5" s="137" t="s">
        <v>32</v>
      </c>
      <c r="I5" s="42"/>
      <c r="J5" s="51"/>
      <c r="K5" s="117"/>
      <c r="L5" s="117"/>
      <c r="M5" s="117"/>
    </row>
    <row r="6" spans="1:13" ht="26.25" x14ac:dyDescent="0.25">
      <c r="A6" s="142"/>
      <c r="B6" s="52" t="s">
        <v>33</v>
      </c>
      <c r="C6" s="52" t="s">
        <v>34</v>
      </c>
      <c r="D6" s="138"/>
      <c r="E6" s="118" t="s">
        <v>35</v>
      </c>
      <c r="F6" s="118" t="s">
        <v>36</v>
      </c>
      <c r="G6" s="138"/>
      <c r="H6" s="138"/>
      <c r="I6" s="119" t="s">
        <v>37</v>
      </c>
      <c r="J6" s="53" t="s">
        <v>38</v>
      </c>
      <c r="K6" s="1" t="s">
        <v>39</v>
      </c>
      <c r="L6" s="1" t="s">
        <v>40</v>
      </c>
      <c r="M6" s="1" t="s">
        <v>41</v>
      </c>
    </row>
    <row r="7" spans="1:13" ht="14.25" customHeight="1" x14ac:dyDescent="0.25">
      <c r="A7" s="54"/>
      <c r="B7" s="55"/>
      <c r="C7" s="55"/>
      <c r="D7" s="56"/>
      <c r="E7" s="57"/>
      <c r="F7" s="57"/>
      <c r="G7" s="56"/>
      <c r="H7" s="56"/>
      <c r="I7" s="56"/>
      <c r="J7" s="58"/>
      <c r="K7" s="56"/>
      <c r="L7" s="56" t="s">
        <v>42</v>
      </c>
      <c r="M7" s="56"/>
    </row>
    <row r="8" spans="1:13" s="39" customFormat="1" x14ac:dyDescent="0.25">
      <c r="A8" s="120" t="s">
        <v>43</v>
      </c>
      <c r="B8" s="121"/>
      <c r="C8" s="121"/>
      <c r="D8" s="65"/>
      <c r="E8" s="67"/>
      <c r="F8" s="67"/>
      <c r="G8" s="70"/>
      <c r="H8" s="83"/>
      <c r="I8" s="83" t="s">
        <v>44</v>
      </c>
      <c r="J8" s="51" t="s">
        <v>45</v>
      </c>
      <c r="K8" s="104"/>
      <c r="L8" s="104"/>
      <c r="M8" s="104" t="s">
        <v>46</v>
      </c>
    </row>
    <row r="9" spans="1:13" s="39" customFormat="1" x14ac:dyDescent="0.25">
      <c r="A9" s="113" t="s">
        <v>47</v>
      </c>
      <c r="B9" s="59"/>
      <c r="C9" s="60"/>
      <c r="D9" s="113" t="s">
        <v>48</v>
      </c>
      <c r="E9" s="103" t="s">
        <v>49</v>
      </c>
      <c r="F9" s="68" t="str">
        <f ca="1">_xlfn.CONCAT(M11,"M",M15)</f>
        <v>2026M1</v>
      </c>
      <c r="G9" s="71"/>
      <c r="H9" s="71"/>
      <c r="I9" s="86"/>
      <c r="J9" s="51"/>
      <c r="K9" s="104"/>
      <c r="L9" s="104"/>
      <c r="M9" s="114">
        <f ca="1">TODAY()</f>
        <v>46101</v>
      </c>
    </row>
    <row r="10" spans="1:13" s="39" customFormat="1" ht="15.75" customHeight="1" x14ac:dyDescent="0.25">
      <c r="A10" s="102" t="s">
        <v>50</v>
      </c>
      <c r="B10" s="37"/>
      <c r="C10" s="38"/>
      <c r="D10" s="102" t="s">
        <v>51</v>
      </c>
      <c r="E10" s="103" t="str">
        <f>E9</f>
        <v>2019M05</v>
      </c>
      <c r="F10" s="68" t="str">
        <f ca="1">F9</f>
        <v>2026M1</v>
      </c>
      <c r="G10" s="84" t="s">
        <v>52</v>
      </c>
      <c r="H10" s="112"/>
      <c r="I10" s="87"/>
      <c r="J10" s="51" t="s">
        <v>53</v>
      </c>
      <c r="K10" s="104"/>
      <c r="L10" s="104"/>
      <c r="M10" s="104" t="s">
        <v>54</v>
      </c>
    </row>
    <row r="11" spans="1:13" s="39" customFormat="1" x14ac:dyDescent="0.25">
      <c r="A11" s="102" t="s">
        <v>55</v>
      </c>
      <c r="B11" s="37"/>
      <c r="C11" s="38"/>
      <c r="D11" s="102" t="s">
        <v>56</v>
      </c>
      <c r="E11" s="103" t="str">
        <f>E9</f>
        <v>2019M05</v>
      </c>
      <c r="F11" s="68" t="str">
        <f ca="1">F9</f>
        <v>2026M1</v>
      </c>
      <c r="G11" s="72"/>
      <c r="H11" s="65"/>
      <c r="I11" s="88"/>
      <c r="J11" s="51"/>
      <c r="K11" s="104"/>
      <c r="L11" s="104"/>
      <c r="M11" s="104">
        <f ca="1">YEAR(M9)</f>
        <v>2026</v>
      </c>
    </row>
    <row r="12" spans="1:13" s="39" customFormat="1" x14ac:dyDescent="0.25">
      <c r="A12" s="102" t="s">
        <v>57</v>
      </c>
      <c r="B12" s="37"/>
      <c r="C12" s="38"/>
      <c r="D12" s="102" t="s">
        <v>58</v>
      </c>
      <c r="E12" s="108" t="str">
        <f>E9</f>
        <v>2019M05</v>
      </c>
      <c r="F12" s="68" t="str">
        <f ca="1">F9</f>
        <v>2026M1</v>
      </c>
      <c r="G12" s="73"/>
      <c r="H12" s="75" t="s">
        <v>59</v>
      </c>
      <c r="I12" s="88"/>
      <c r="J12" s="61"/>
      <c r="K12" s="104"/>
      <c r="L12" s="104"/>
      <c r="M12" s="104" t="s">
        <v>60</v>
      </c>
    </row>
    <row r="13" spans="1:13" s="39" customFormat="1" x14ac:dyDescent="0.25">
      <c r="A13" s="102" t="s">
        <v>61</v>
      </c>
      <c r="B13" s="37"/>
      <c r="C13" s="38"/>
      <c r="D13" s="102" t="s">
        <v>62</v>
      </c>
      <c r="E13" s="108" t="str">
        <f>E9</f>
        <v>2019M05</v>
      </c>
      <c r="F13" s="68" t="str">
        <f ca="1">F9</f>
        <v>2026M1</v>
      </c>
      <c r="G13" s="73"/>
      <c r="H13" s="84" t="s">
        <v>59</v>
      </c>
      <c r="I13" s="88"/>
      <c r="J13" s="61"/>
      <c r="K13" s="104"/>
      <c r="L13" s="104"/>
      <c r="M13" s="104">
        <f ca="1">MONTH(M9)</f>
        <v>3</v>
      </c>
    </row>
    <row r="14" spans="1:13" s="39" customFormat="1" x14ac:dyDescent="0.25">
      <c r="A14" s="102" t="s">
        <v>63</v>
      </c>
      <c r="B14" s="37"/>
      <c r="C14" s="38"/>
      <c r="D14" s="102" t="s">
        <v>64</v>
      </c>
      <c r="E14" s="108" t="str">
        <f>E9</f>
        <v>2019M05</v>
      </c>
      <c r="F14" s="68" t="str">
        <f ca="1">F9</f>
        <v>2026M1</v>
      </c>
      <c r="G14" s="74"/>
      <c r="H14" s="75" t="s">
        <v>59</v>
      </c>
      <c r="I14" s="88"/>
      <c r="J14" s="62"/>
      <c r="K14" s="104"/>
      <c r="L14" s="104"/>
      <c r="M14" s="104">
        <f ca="1">IF(DAY(M9)&gt;20,M13-1,M13-2)</f>
        <v>1</v>
      </c>
    </row>
    <row r="15" spans="1:13" s="39" customFormat="1" x14ac:dyDescent="0.25">
      <c r="A15" s="102" t="s">
        <v>65</v>
      </c>
      <c r="B15" s="37"/>
      <c r="C15" s="38"/>
      <c r="D15" s="102" t="s">
        <v>66</v>
      </c>
      <c r="E15" s="108" t="str">
        <f>E9</f>
        <v>2019M05</v>
      </c>
      <c r="F15" s="68" t="str">
        <f ca="1">F9</f>
        <v>2026M1</v>
      </c>
      <c r="G15" s="75"/>
      <c r="H15" s="75" t="s">
        <v>59</v>
      </c>
      <c r="I15" s="88"/>
      <c r="J15" s="61"/>
      <c r="K15" s="104"/>
      <c r="L15" s="104"/>
      <c r="M15" s="104">
        <f ca="1">IF(M14&lt;1,12-M14,M14)</f>
        <v>1</v>
      </c>
    </row>
    <row r="16" spans="1:13" s="39" customFormat="1" x14ac:dyDescent="0.25">
      <c r="A16" s="102" t="s">
        <v>67</v>
      </c>
      <c r="B16" s="37"/>
      <c r="C16" s="38"/>
      <c r="D16" s="102" t="s">
        <v>68</v>
      </c>
      <c r="E16" s="108" t="str">
        <f>E9</f>
        <v>2019M05</v>
      </c>
      <c r="F16" s="68" t="str">
        <f ca="1">F9</f>
        <v>2026M1</v>
      </c>
      <c r="G16" s="76"/>
      <c r="H16" s="75" t="s">
        <v>59</v>
      </c>
      <c r="I16" s="88"/>
      <c r="J16" s="62"/>
      <c r="K16" s="104"/>
      <c r="L16" s="104"/>
      <c r="M16" s="104" t="s">
        <v>69</v>
      </c>
    </row>
    <row r="17" spans="1:13" s="39" customFormat="1" x14ac:dyDescent="0.25">
      <c r="A17" s="105" t="s">
        <v>70</v>
      </c>
      <c r="B17" s="37"/>
      <c r="C17" s="38"/>
      <c r="D17" s="102" t="s">
        <v>71</v>
      </c>
      <c r="E17" s="103" t="str">
        <f>E9</f>
        <v>2019M05</v>
      </c>
      <c r="F17" s="67" t="str">
        <f ca="1">F9</f>
        <v>2026M1</v>
      </c>
      <c r="G17" s="72"/>
      <c r="H17" s="75" t="s">
        <v>59</v>
      </c>
      <c r="I17" s="88"/>
      <c r="J17" s="51"/>
      <c r="K17" s="104"/>
      <c r="L17" s="104"/>
      <c r="M17" s="104" t="s">
        <v>72</v>
      </c>
    </row>
    <row r="18" spans="1:13" ht="16.5" customHeight="1" x14ac:dyDescent="0.25">
      <c r="A18" s="105" t="s">
        <v>73</v>
      </c>
      <c r="B18" s="2"/>
      <c r="C18" s="3"/>
      <c r="D18" s="102" t="s">
        <v>74</v>
      </c>
      <c r="E18" s="108" t="str">
        <f>E9</f>
        <v>2019M05</v>
      </c>
      <c r="F18" s="68" t="str">
        <f ca="1">F9</f>
        <v>2026M1</v>
      </c>
      <c r="G18" s="77"/>
      <c r="H18" s="75" t="s">
        <v>59</v>
      </c>
      <c r="I18" s="89"/>
      <c r="J18" s="61"/>
      <c r="K18" s="109"/>
      <c r="L18" s="104"/>
      <c r="M18" s="104"/>
    </row>
    <row r="19" spans="1:13" s="39" customFormat="1" x14ac:dyDescent="0.25">
      <c r="A19" s="102" t="s">
        <v>75</v>
      </c>
      <c r="B19" s="37"/>
      <c r="C19" s="38"/>
      <c r="D19" s="102" t="s">
        <v>76</v>
      </c>
      <c r="E19" s="103" t="str">
        <f>E9</f>
        <v>2019M05</v>
      </c>
      <c r="F19" s="68" t="str">
        <f ca="1">F9</f>
        <v>2026M1</v>
      </c>
      <c r="G19" s="101" t="s">
        <v>52</v>
      </c>
      <c r="H19" s="65"/>
      <c r="I19" s="88"/>
      <c r="J19" s="51"/>
      <c r="K19" s="104"/>
      <c r="L19" s="104"/>
      <c r="M19" s="104"/>
    </row>
    <row r="20" spans="1:13" ht="30" customHeight="1" x14ac:dyDescent="0.25">
      <c r="A20" s="105" t="s">
        <v>77</v>
      </c>
      <c r="B20" s="2"/>
      <c r="C20" s="3"/>
      <c r="D20" s="102" t="s">
        <v>78</v>
      </c>
      <c r="E20" s="108" t="str">
        <f>E9</f>
        <v>2019M05</v>
      </c>
      <c r="F20" s="68" t="str">
        <f ca="1">F9</f>
        <v>2026M1</v>
      </c>
      <c r="G20" s="74"/>
      <c r="H20" s="75" t="s">
        <v>59</v>
      </c>
      <c r="I20" s="89"/>
      <c r="J20" s="62"/>
      <c r="K20" s="104"/>
      <c r="L20" s="104"/>
      <c r="M20" s="104"/>
    </row>
    <row r="21" spans="1:13" s="39" customFormat="1" x14ac:dyDescent="0.25">
      <c r="A21" s="102" t="s">
        <v>79</v>
      </c>
      <c r="B21" s="37"/>
      <c r="C21" s="38"/>
      <c r="D21" s="102" t="s">
        <v>80</v>
      </c>
      <c r="E21" s="108" t="str">
        <f>E9</f>
        <v>2019M05</v>
      </c>
      <c r="F21" s="68" t="str">
        <f ca="1">F9</f>
        <v>2026M1</v>
      </c>
      <c r="G21" s="74"/>
      <c r="H21" s="65"/>
      <c r="I21" s="82"/>
      <c r="J21" s="62"/>
      <c r="K21" s="104"/>
      <c r="L21" s="104"/>
      <c r="M21" s="104"/>
    </row>
    <row r="22" spans="1:13" x14ac:dyDescent="0.25">
      <c r="A22" s="102" t="s">
        <v>81</v>
      </c>
      <c r="B22" s="2"/>
      <c r="C22" s="3"/>
      <c r="D22" s="102" t="s">
        <v>82</v>
      </c>
      <c r="E22" s="103" t="str">
        <f>E9</f>
        <v>2019M05</v>
      </c>
      <c r="F22" s="68" t="str">
        <f ca="1">F9</f>
        <v>2026M1</v>
      </c>
      <c r="G22" s="79"/>
      <c r="H22" s="75"/>
      <c r="I22" s="89"/>
      <c r="J22" s="51"/>
      <c r="K22" s="104"/>
      <c r="L22" s="104"/>
      <c r="M22" s="104"/>
    </row>
    <row r="23" spans="1:13" x14ac:dyDescent="0.25">
      <c r="A23" s="102" t="s">
        <v>83</v>
      </c>
      <c r="B23" s="2"/>
      <c r="C23" s="3"/>
      <c r="D23" s="102" t="s">
        <v>84</v>
      </c>
      <c r="E23" s="108" t="str">
        <f>E9</f>
        <v>2019M05</v>
      </c>
      <c r="F23" s="68" t="str">
        <f ca="1">F9</f>
        <v>2026M1</v>
      </c>
      <c r="G23" s="80"/>
      <c r="H23" s="75" t="s">
        <v>59</v>
      </c>
      <c r="I23" s="89"/>
      <c r="J23" s="62" t="s">
        <v>53</v>
      </c>
      <c r="K23" s="104"/>
      <c r="L23" s="104"/>
      <c r="M23" s="104"/>
    </row>
    <row r="24" spans="1:13" x14ac:dyDescent="0.25">
      <c r="A24" s="102" t="s">
        <v>85</v>
      </c>
      <c r="B24" s="2"/>
      <c r="C24" s="3"/>
      <c r="D24" s="102" t="s">
        <v>85</v>
      </c>
      <c r="E24" s="108"/>
      <c r="F24" s="68"/>
      <c r="G24" s="80"/>
      <c r="H24" s="65"/>
      <c r="I24" s="89"/>
      <c r="J24" s="62"/>
      <c r="K24" s="104"/>
      <c r="L24" s="110"/>
      <c r="M24" s="110"/>
    </row>
    <row r="25" spans="1:13" x14ac:dyDescent="0.25">
      <c r="A25" s="111" t="s">
        <v>86</v>
      </c>
      <c r="B25" s="2"/>
      <c r="C25" s="3"/>
      <c r="D25" s="102" t="s">
        <v>85</v>
      </c>
      <c r="E25" s="108"/>
      <c r="F25" s="68"/>
      <c r="G25" s="77"/>
      <c r="H25" s="75"/>
      <c r="I25" s="89"/>
      <c r="J25" s="51"/>
      <c r="K25" s="104"/>
      <c r="L25" s="104"/>
      <c r="M25" s="104"/>
    </row>
    <row r="26" spans="1:13" x14ac:dyDescent="0.25">
      <c r="A26" s="102" t="s">
        <v>87</v>
      </c>
      <c r="B26" s="2"/>
      <c r="C26" s="3"/>
      <c r="D26" s="102" t="s">
        <v>88</v>
      </c>
      <c r="E26" s="103" t="str">
        <f>E9</f>
        <v>2019M05</v>
      </c>
      <c r="F26" s="68" t="str">
        <f ca="1">F9</f>
        <v>2026M1</v>
      </c>
      <c r="G26" s="78"/>
      <c r="H26" s="65"/>
      <c r="I26" s="89"/>
      <c r="J26" s="51"/>
      <c r="K26" s="104"/>
      <c r="L26" s="104"/>
      <c r="M26" s="104"/>
    </row>
    <row r="27" spans="1:13" x14ac:dyDescent="0.25">
      <c r="A27" s="105" t="s">
        <v>89</v>
      </c>
      <c r="B27" s="2"/>
      <c r="C27" s="3"/>
      <c r="D27" s="102" t="s">
        <v>90</v>
      </c>
      <c r="E27" s="103" t="str">
        <f>E9</f>
        <v>2019M05</v>
      </c>
      <c r="F27" s="68" t="str">
        <f ca="1">F9</f>
        <v>2026M1</v>
      </c>
      <c r="G27" s="78"/>
      <c r="H27" s="85"/>
      <c r="I27" s="89"/>
      <c r="J27" s="51" t="s">
        <v>53</v>
      </c>
      <c r="K27" s="104"/>
      <c r="L27" s="104"/>
      <c r="M27" s="104"/>
    </row>
    <row r="28" spans="1:13" s="36" customFormat="1" x14ac:dyDescent="0.25">
      <c r="A28" s="106" t="s">
        <v>91</v>
      </c>
      <c r="B28" s="34"/>
      <c r="C28" s="35"/>
      <c r="D28" s="102" t="s">
        <v>92</v>
      </c>
      <c r="E28" s="103" t="str">
        <f>E9</f>
        <v>2019M05</v>
      </c>
      <c r="F28" s="68" t="str">
        <f ca="1">F9</f>
        <v>2026M1</v>
      </c>
      <c r="G28" s="78"/>
      <c r="H28" s="85"/>
      <c r="I28" s="82"/>
      <c r="J28" s="51" t="s">
        <v>53</v>
      </c>
      <c r="K28" s="104"/>
      <c r="L28" s="104"/>
      <c r="M28" s="104"/>
    </row>
    <row r="29" spans="1:13" s="39" customFormat="1" x14ac:dyDescent="0.25">
      <c r="A29" s="105" t="s">
        <v>85</v>
      </c>
      <c r="B29" s="37"/>
      <c r="C29" s="38"/>
      <c r="D29" s="102" t="s">
        <v>85</v>
      </c>
      <c r="E29" s="103"/>
      <c r="F29" s="68"/>
      <c r="G29" s="81"/>
      <c r="H29" s="83"/>
      <c r="I29" s="88"/>
      <c r="J29" s="51"/>
      <c r="K29" s="104"/>
      <c r="L29" s="104"/>
      <c r="M29" s="104"/>
    </row>
    <row r="30" spans="1:13" x14ac:dyDescent="0.25">
      <c r="A30" s="107" t="s">
        <v>93</v>
      </c>
      <c r="B30" s="2"/>
      <c r="C30" s="3"/>
      <c r="D30" s="102" t="s">
        <v>85</v>
      </c>
      <c r="E30" s="103"/>
      <c r="F30" s="68"/>
      <c r="G30" s="81"/>
      <c r="H30" s="83"/>
      <c r="I30" s="89"/>
      <c r="J30" s="51"/>
      <c r="K30" s="104"/>
      <c r="L30" s="104"/>
      <c r="M30" s="104"/>
    </row>
    <row r="31" spans="1:13" ht="15.75" customHeight="1" x14ac:dyDescent="0.25">
      <c r="A31" s="106" t="s">
        <v>95</v>
      </c>
      <c r="B31" s="2"/>
      <c r="C31" s="3"/>
      <c r="D31" s="102" t="s">
        <v>96</v>
      </c>
      <c r="E31" s="103" t="str">
        <f>E12</f>
        <v>2019M05</v>
      </c>
      <c r="F31" s="68" t="str">
        <f ca="1">F12</f>
        <v>2026M1</v>
      </c>
      <c r="G31" s="81"/>
      <c r="H31" s="83"/>
      <c r="I31" s="89"/>
      <c r="J31" s="51"/>
      <c r="K31" s="104" t="s">
        <v>94</v>
      </c>
      <c r="L31" s="104"/>
      <c r="M31" s="104"/>
    </row>
    <row r="32" spans="1:13" x14ac:dyDescent="0.25">
      <c r="A32" s="102" t="s">
        <v>97</v>
      </c>
      <c r="B32" s="2"/>
      <c r="C32" s="3"/>
      <c r="D32" s="102" t="s">
        <v>98</v>
      </c>
      <c r="E32" s="103" t="str">
        <f>E12</f>
        <v>2019M05</v>
      </c>
      <c r="F32" s="68" t="str">
        <f ca="1">F12</f>
        <v>2026M1</v>
      </c>
      <c r="G32" s="81"/>
      <c r="H32" s="83"/>
      <c r="I32" s="89"/>
      <c r="J32" s="51"/>
      <c r="K32" s="104" t="s">
        <v>94</v>
      </c>
      <c r="L32" s="104"/>
      <c r="M32" s="104"/>
    </row>
    <row r="33" spans="1:13" x14ac:dyDescent="0.25">
      <c r="A33" s="102" t="s">
        <v>99</v>
      </c>
      <c r="B33" s="2"/>
      <c r="C33" s="3"/>
      <c r="D33" s="102" t="s">
        <v>100</v>
      </c>
      <c r="E33" s="103" t="str">
        <f>E12</f>
        <v>2019M05</v>
      </c>
      <c r="F33" s="68" t="str">
        <f ca="1">F12</f>
        <v>2026M1</v>
      </c>
      <c r="G33" s="81"/>
      <c r="H33" s="83"/>
      <c r="I33" s="90"/>
      <c r="J33" s="51" t="s">
        <v>53</v>
      </c>
      <c r="K33" s="104" t="s">
        <v>94</v>
      </c>
      <c r="L33" s="104"/>
      <c r="M33" s="104"/>
    </row>
    <row r="34" spans="1:13" x14ac:dyDescent="0.25">
      <c r="A34" s="43"/>
      <c r="B34" s="44"/>
      <c r="C34" s="44"/>
      <c r="D34" s="44"/>
      <c r="E34" s="45"/>
      <c r="F34" s="45"/>
      <c r="G34" s="44"/>
      <c r="H34" s="44"/>
      <c r="I34" s="44"/>
      <c r="J34" s="46"/>
      <c r="K34" s="44"/>
      <c r="L34" s="44"/>
      <c r="M34" s="44"/>
    </row>
    <row r="35" spans="1:13" x14ac:dyDescent="0.25">
      <c r="A35" s="63" t="str">
        <f>'Variabelliste - informasjon'!A36</f>
        <v>Sist oppdatert 18.03.2025</v>
      </c>
      <c r="B35" s="17"/>
      <c r="C35" s="17"/>
      <c r="D35" s="17" t="s">
        <v>26</v>
      </c>
      <c r="E35" s="69"/>
      <c r="F35" s="69"/>
      <c r="G35" s="17"/>
      <c r="H35" s="17"/>
      <c r="I35" s="17"/>
    </row>
  </sheetData>
  <sheetProtection algorithmName="SHA-512" hashValue="lQ7TxgswYciNrNGYdt56FfDp4/xZM91lRfPXa4kvqQCTAs3Ik8njtFPL9HHOPo4HnsgnhIoGIZNdYtxgAxtUSQ==" saltValue="SQFTt3JRYZZ49nGgZZAAvQ==" spinCount="100000" sheet="1" objects="1" scenarios="1"/>
  <mergeCells count="6">
    <mergeCell ref="H5:H6"/>
    <mergeCell ref="A1:A2"/>
    <mergeCell ref="A5:A6"/>
    <mergeCell ref="B5:C5"/>
    <mergeCell ref="D5:D6"/>
    <mergeCell ref="G5:G6"/>
  </mergeCells>
  <phoneticPr fontId="35" type="noConversion"/>
  <conditionalFormatting sqref="A8">
    <cfRule type="expression" dxfId="16" priority="26">
      <formula>B8="x"</formula>
    </cfRule>
  </conditionalFormatting>
  <conditionalFormatting sqref="B8:C33">
    <cfRule type="expression" dxfId="15" priority="27">
      <formula>#REF!="x"</formula>
    </cfRule>
  </conditionalFormatting>
  <conditionalFormatting sqref="G11">
    <cfRule type="expression" dxfId="14" priority="18">
      <formula>#REF!=TRUE</formula>
    </cfRule>
    <cfRule type="expression" dxfId="13" priority="19">
      <formula>#REF!=TRUE</formula>
    </cfRule>
  </conditionalFormatting>
  <conditionalFormatting sqref="G14 G19:G22">
    <cfRule type="expression" dxfId="12" priority="24">
      <formula>#REF!=TRUE</formula>
    </cfRule>
  </conditionalFormatting>
  <conditionalFormatting sqref="G16:G17">
    <cfRule type="expression" dxfId="11" priority="25">
      <formula>#REF!=TRUE</formula>
    </cfRule>
  </conditionalFormatting>
  <conditionalFormatting sqref="G18:G22">
    <cfRule type="expression" dxfId="10" priority="21">
      <formula>#REF!=TRUE</formula>
    </cfRule>
  </conditionalFormatting>
  <conditionalFormatting sqref="H13">
    <cfRule type="expression" dxfId="9" priority="23">
      <formula>$G$20=TRUE</formula>
    </cfRule>
  </conditionalFormatting>
  <conditionalFormatting sqref="J11">
    <cfRule type="expression" dxfId="8" priority="17">
      <formula>#REF!=TRUE</formula>
    </cfRule>
  </conditionalFormatting>
  <conditionalFormatting sqref="J13">
    <cfRule type="expression" dxfId="7" priority="16">
      <formula>$I$12=TRUE</formula>
    </cfRule>
  </conditionalFormatting>
  <conditionalFormatting sqref="J14">
    <cfRule type="expression" dxfId="6" priority="15">
      <formula>$I$13=TRUE</formula>
    </cfRule>
  </conditionalFormatting>
  <conditionalFormatting sqref="J15">
    <cfRule type="expression" dxfId="5" priority="14">
      <formula>$I$14=TRUE</formula>
    </cfRule>
  </conditionalFormatting>
  <conditionalFormatting sqref="J16">
    <cfRule type="expression" dxfId="4" priority="13">
      <formula>$I$15=TRUE</formula>
    </cfRule>
  </conditionalFormatting>
  <conditionalFormatting sqref="J18">
    <cfRule type="expression" dxfId="3" priority="12">
      <formula>$I$17=TRUE</formula>
    </cfRule>
  </conditionalFormatting>
  <conditionalFormatting sqref="J19">
    <cfRule type="expression" dxfId="2" priority="11">
      <formula>$I$18=TRUE</formula>
    </cfRule>
  </conditionalFormatting>
  <conditionalFormatting sqref="J20">
    <cfRule type="expression" dxfId="1" priority="10">
      <formula>$I$19=TRUE</formula>
    </cfRule>
  </conditionalFormatting>
  <conditionalFormatting sqref="J21">
    <cfRule type="expression" dxfId="0" priority="9">
      <formula>$I$20=TRUE</formula>
    </cfRule>
  </conditionalFormatting>
  <hyperlinks>
    <hyperlink ref="G10" location="Variabeldefinisjoner!A3" display="Definisjon" xr:uid="{861082A1-8D53-43DC-8B51-E2E13E700ED6}"/>
    <hyperlink ref="G19" location="Variabeldefinisjoner!A6" display="Definisjon" xr:uid="{6BD1A8BF-E4FD-4EEC-B40C-B6995C43231C}"/>
    <hyperlink ref="H12" location="Kodelister!A3" display="Kodeliste" xr:uid="{D5B44254-7F72-451B-98C3-CBD588F6FB70}"/>
    <hyperlink ref="H13" location="Kodelister!A6" display="Kodeliste" xr:uid="{A8185083-1D8F-4434-8F86-598664161B01}"/>
    <hyperlink ref="H14" location="Kodelister!A10" display="Kodeliste" xr:uid="{DB13E9D6-461C-408F-8C23-70CA859BC076}"/>
    <hyperlink ref="H15" location="Kodelister!A15" display="Kodeliste" xr:uid="{8472F23A-07C0-4F6E-8A1D-C40A6E9F5BE4}"/>
    <hyperlink ref="H16" location="Kodelister!A22" display="Kodeliste" xr:uid="{2B6AB21E-BF39-42DE-9F19-FA967E270E42}"/>
    <hyperlink ref="H17" location="Kodelister!A26" display="Kodeliste" xr:uid="{CA3316CF-3B52-4088-A5B5-9F17ED4B2107}"/>
    <hyperlink ref="H18" location="Kodelister!A32" display="Kodeliste" xr:uid="{8652A0EB-2011-4D65-A1AD-0B5D125C8DE2}"/>
    <hyperlink ref="H20" location="Kodelister!A36" display="Kodeliste" xr:uid="{62832E8C-72A1-4DA9-B19D-F3E44EFB936D}"/>
    <hyperlink ref="H23" location="Kodelister!A43" display="Kodeliste" xr:uid="{3271F3B1-8686-49F7-8753-A773652CF911}"/>
  </hyperlink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B6544-C1B8-4D1B-AECB-46601C37112A}">
  <dimension ref="A1:F55"/>
  <sheetViews>
    <sheetView workbookViewId="0">
      <selection activeCell="C59" sqref="C59"/>
    </sheetView>
  </sheetViews>
  <sheetFormatPr baseColWidth="10" defaultColWidth="11.42578125" defaultRowHeight="12.75" x14ac:dyDescent="0.2"/>
  <cols>
    <col min="1" max="1" width="70.7109375" customWidth="1"/>
    <col min="2" max="2" width="52" customWidth="1"/>
    <col min="3" max="3" width="18" bestFit="1" customWidth="1"/>
  </cols>
  <sheetData>
    <row r="1" spans="1:6" s="41" customFormat="1" x14ac:dyDescent="0.2">
      <c r="A1" s="97" t="s">
        <v>101</v>
      </c>
      <c r="B1" s="98"/>
      <c r="C1" s="98"/>
      <c r="D1" s="98"/>
      <c r="E1" s="98"/>
      <c r="F1" s="98"/>
    </row>
    <row r="2" spans="1:6" x14ac:dyDescent="0.2">
      <c r="A2" s="98"/>
      <c r="B2" s="98"/>
      <c r="C2" s="98"/>
      <c r="D2" s="98"/>
      <c r="E2" s="98"/>
      <c r="F2" s="98"/>
    </row>
    <row r="3" spans="1:6" x14ac:dyDescent="0.2">
      <c r="A3" s="98" t="s">
        <v>58</v>
      </c>
      <c r="B3" s="98" t="s">
        <v>102</v>
      </c>
      <c r="C3" s="98"/>
      <c r="D3" s="98"/>
      <c r="E3" s="98"/>
      <c r="F3" s="98"/>
    </row>
    <row r="4" spans="1:6" x14ac:dyDescent="0.2">
      <c r="A4" s="98"/>
      <c r="B4" s="98" t="s">
        <v>103</v>
      </c>
      <c r="C4" s="98"/>
      <c r="D4" s="98"/>
      <c r="E4" s="98"/>
      <c r="F4" s="98"/>
    </row>
    <row r="5" spans="1:6" x14ac:dyDescent="0.2">
      <c r="A5" s="98"/>
      <c r="B5" s="98"/>
      <c r="C5" s="98"/>
      <c r="D5" s="98"/>
      <c r="E5" s="98"/>
      <c r="F5" s="98"/>
    </row>
    <row r="6" spans="1:6" x14ac:dyDescent="0.2">
      <c r="A6" s="98" t="s">
        <v>62</v>
      </c>
      <c r="B6" s="98" t="s">
        <v>104</v>
      </c>
      <c r="C6" s="98"/>
      <c r="D6" s="98"/>
      <c r="E6" s="98"/>
      <c r="F6" s="98"/>
    </row>
    <row r="7" spans="1:6" x14ac:dyDescent="0.2">
      <c r="A7" s="98"/>
      <c r="B7" s="98" t="s">
        <v>105</v>
      </c>
      <c r="C7" s="98"/>
      <c r="D7" s="98"/>
      <c r="E7" s="98"/>
      <c r="F7" s="98"/>
    </row>
    <row r="8" spans="1:6" x14ac:dyDescent="0.2">
      <c r="A8" s="98"/>
      <c r="B8" s="98" t="s">
        <v>106</v>
      </c>
      <c r="C8" s="98"/>
      <c r="D8" s="98"/>
      <c r="E8" s="98"/>
      <c r="F8" s="98"/>
    </row>
    <row r="9" spans="1:6" x14ac:dyDescent="0.2">
      <c r="A9" s="98"/>
      <c r="B9" s="98"/>
      <c r="C9" s="98"/>
      <c r="D9" s="98"/>
      <c r="E9" s="98"/>
      <c r="F9" s="98"/>
    </row>
    <row r="10" spans="1:6" x14ac:dyDescent="0.2">
      <c r="A10" s="98" t="s">
        <v>64</v>
      </c>
      <c r="B10" s="98" t="s">
        <v>107</v>
      </c>
      <c r="C10" s="98"/>
      <c r="D10" s="98"/>
      <c r="E10" s="98"/>
      <c r="F10" s="98"/>
    </row>
    <row r="11" spans="1:6" x14ac:dyDescent="0.2">
      <c r="A11" s="98"/>
      <c r="B11" s="98" t="s">
        <v>108</v>
      </c>
      <c r="C11" s="98"/>
      <c r="D11" s="98"/>
      <c r="E11" s="98"/>
      <c r="F11" s="98"/>
    </row>
    <row r="12" spans="1:6" ht="53.25" customHeight="1" x14ac:dyDescent="0.2">
      <c r="A12" s="98"/>
      <c r="B12" s="122" t="s">
        <v>109</v>
      </c>
      <c r="C12" s="98"/>
      <c r="D12" s="98"/>
      <c r="E12" s="98"/>
      <c r="F12" s="98"/>
    </row>
    <row r="13" spans="1:6" x14ac:dyDescent="0.2">
      <c r="A13" s="98"/>
      <c r="B13" s="98" t="s">
        <v>110</v>
      </c>
      <c r="C13" s="98"/>
      <c r="D13" s="98"/>
      <c r="E13" s="98"/>
      <c r="F13" s="98"/>
    </row>
    <row r="14" spans="1:6" x14ac:dyDescent="0.2">
      <c r="A14" s="98"/>
      <c r="B14" s="98"/>
      <c r="C14" s="98"/>
      <c r="D14" s="98"/>
      <c r="E14" s="98"/>
      <c r="F14" s="98"/>
    </row>
    <row r="15" spans="1:6" x14ac:dyDescent="0.2">
      <c r="A15" s="98" t="s">
        <v>66</v>
      </c>
      <c r="B15" s="98" t="s">
        <v>111</v>
      </c>
      <c r="C15" s="98"/>
      <c r="D15" s="98"/>
      <c r="E15" s="98"/>
      <c r="F15" s="98"/>
    </row>
    <row r="16" spans="1:6" x14ac:dyDescent="0.2">
      <c r="A16" s="98"/>
      <c r="B16" s="98" t="s">
        <v>112</v>
      </c>
      <c r="C16" s="98"/>
      <c r="D16" s="98"/>
      <c r="E16" s="98"/>
      <c r="F16" s="98"/>
    </row>
    <row r="17" spans="1:6" x14ac:dyDescent="0.2">
      <c r="A17" s="98"/>
      <c r="B17" s="98" t="s">
        <v>113</v>
      </c>
      <c r="C17" s="98"/>
      <c r="D17" s="98"/>
      <c r="E17" s="98"/>
      <c r="F17" s="98"/>
    </row>
    <row r="18" spans="1:6" x14ac:dyDescent="0.2">
      <c r="A18" s="98"/>
      <c r="B18" s="98" t="s">
        <v>114</v>
      </c>
      <c r="C18" s="98"/>
      <c r="D18" s="98"/>
      <c r="E18" s="98"/>
      <c r="F18" s="98"/>
    </row>
    <row r="19" spans="1:6" x14ac:dyDescent="0.2">
      <c r="A19" s="98"/>
      <c r="B19" s="98" t="s">
        <v>115</v>
      </c>
      <c r="C19" s="98"/>
      <c r="D19" s="98"/>
      <c r="E19" s="98"/>
      <c r="F19" s="98"/>
    </row>
    <row r="20" spans="1:6" x14ac:dyDescent="0.2">
      <c r="A20" s="98"/>
      <c r="B20" s="98" t="s">
        <v>116</v>
      </c>
      <c r="C20" s="98"/>
      <c r="D20" s="98"/>
      <c r="E20" s="98"/>
      <c r="F20" s="98"/>
    </row>
    <row r="21" spans="1:6" x14ac:dyDescent="0.2">
      <c r="A21" s="98"/>
      <c r="B21" s="98"/>
      <c r="C21" s="98"/>
      <c r="D21" s="98"/>
      <c r="E21" s="98"/>
      <c r="F21" s="98"/>
    </row>
    <row r="22" spans="1:6" x14ac:dyDescent="0.2">
      <c r="A22" s="98" t="s">
        <v>68</v>
      </c>
      <c r="B22" s="98" t="s">
        <v>117</v>
      </c>
      <c r="C22" s="98"/>
      <c r="D22" s="98"/>
      <c r="E22" s="98"/>
      <c r="F22" s="98"/>
    </row>
    <row r="23" spans="1:6" x14ac:dyDescent="0.2">
      <c r="A23" s="98"/>
      <c r="B23" s="98" t="s">
        <v>118</v>
      </c>
      <c r="C23" s="98"/>
      <c r="D23" s="98"/>
      <c r="E23" s="98"/>
      <c r="F23" s="98"/>
    </row>
    <row r="24" spans="1:6" x14ac:dyDescent="0.2">
      <c r="A24" s="98"/>
      <c r="B24" s="98" t="s">
        <v>119</v>
      </c>
      <c r="C24" s="98"/>
      <c r="D24" s="98"/>
      <c r="E24" s="98"/>
      <c r="F24" s="98"/>
    </row>
    <row r="25" spans="1:6" x14ac:dyDescent="0.2">
      <c r="A25" s="98"/>
      <c r="B25" s="98"/>
      <c r="C25" s="98"/>
      <c r="D25" s="98"/>
      <c r="E25" s="98"/>
      <c r="F25" s="98"/>
    </row>
    <row r="26" spans="1:6" x14ac:dyDescent="0.2">
      <c r="A26" s="98" t="s">
        <v>71</v>
      </c>
      <c r="B26" s="98" t="s">
        <v>120</v>
      </c>
      <c r="C26" s="98"/>
      <c r="D26" s="98"/>
      <c r="E26" s="98"/>
      <c r="F26" s="98"/>
    </row>
    <row r="27" spans="1:6" x14ac:dyDescent="0.2">
      <c r="A27" s="98"/>
      <c r="B27" s="98" t="s">
        <v>121</v>
      </c>
      <c r="C27" s="98"/>
      <c r="D27" s="98"/>
      <c r="E27" s="98"/>
      <c r="F27" s="98"/>
    </row>
    <row r="28" spans="1:6" x14ac:dyDescent="0.2">
      <c r="A28" s="98"/>
      <c r="B28" s="98" t="s">
        <v>122</v>
      </c>
      <c r="C28" s="98"/>
      <c r="D28" s="98"/>
      <c r="E28" s="98"/>
      <c r="F28" s="98"/>
    </row>
    <row r="29" spans="1:6" x14ac:dyDescent="0.2">
      <c r="A29" s="98"/>
      <c r="B29" s="98" t="s">
        <v>123</v>
      </c>
      <c r="C29" s="98"/>
      <c r="D29" s="98"/>
      <c r="E29" s="98"/>
      <c r="F29" s="98"/>
    </row>
    <row r="30" spans="1:6" ht="25.5" x14ac:dyDescent="0.2">
      <c r="A30" s="98"/>
      <c r="B30" s="122" t="s">
        <v>124</v>
      </c>
      <c r="C30" s="98"/>
      <c r="D30" s="98"/>
      <c r="E30" s="98"/>
      <c r="F30" s="98"/>
    </row>
    <row r="31" spans="1:6" x14ac:dyDescent="0.2">
      <c r="A31" s="98"/>
      <c r="B31" s="98"/>
      <c r="C31" s="98"/>
      <c r="D31" s="98"/>
      <c r="E31" s="98"/>
      <c r="F31" s="98"/>
    </row>
    <row r="32" spans="1:6" x14ac:dyDescent="0.2">
      <c r="A32" s="98" t="s">
        <v>74</v>
      </c>
      <c r="B32" s="98" t="s">
        <v>125</v>
      </c>
      <c r="C32" s="98"/>
      <c r="D32" s="98"/>
      <c r="E32" s="98"/>
      <c r="F32" s="98"/>
    </row>
    <row r="33" spans="1:6" x14ac:dyDescent="0.2">
      <c r="A33" s="98"/>
      <c r="B33" s="98" t="s">
        <v>126</v>
      </c>
      <c r="C33" s="98"/>
      <c r="D33" s="98"/>
      <c r="E33" s="98"/>
      <c r="F33" s="98"/>
    </row>
    <row r="34" spans="1:6" x14ac:dyDescent="0.2">
      <c r="A34" s="98"/>
      <c r="B34" s="98" t="s">
        <v>127</v>
      </c>
      <c r="C34" s="98"/>
      <c r="D34" s="98"/>
      <c r="E34" s="98"/>
      <c r="F34" s="98"/>
    </row>
    <row r="35" spans="1:6" x14ac:dyDescent="0.2">
      <c r="A35" s="98"/>
      <c r="B35" s="98"/>
      <c r="C35" s="98"/>
      <c r="D35" s="98"/>
      <c r="E35" s="98"/>
      <c r="F35" s="98"/>
    </row>
    <row r="36" spans="1:6" ht="38.25" x14ac:dyDescent="0.2">
      <c r="A36" s="98" t="s">
        <v>78</v>
      </c>
      <c r="B36" s="122" t="s">
        <v>128</v>
      </c>
      <c r="C36" s="98"/>
      <c r="D36" s="98"/>
      <c r="E36" s="98"/>
      <c r="F36" s="98"/>
    </row>
    <row r="37" spans="1:6" x14ac:dyDescent="0.2">
      <c r="A37" s="98"/>
      <c r="B37" s="98" t="s">
        <v>129</v>
      </c>
      <c r="C37" s="98"/>
      <c r="D37" s="98"/>
      <c r="E37" s="98"/>
      <c r="F37" s="98"/>
    </row>
    <row r="38" spans="1:6" x14ac:dyDescent="0.2">
      <c r="A38" s="98"/>
      <c r="B38" s="98" t="s">
        <v>130</v>
      </c>
      <c r="C38" s="98"/>
      <c r="D38" s="98"/>
      <c r="E38" s="98"/>
      <c r="F38" s="98"/>
    </row>
    <row r="39" spans="1:6" x14ac:dyDescent="0.2">
      <c r="A39" s="98"/>
      <c r="B39" s="98" t="s">
        <v>131</v>
      </c>
      <c r="C39" s="98"/>
      <c r="D39" s="98"/>
      <c r="E39" s="98"/>
      <c r="F39" s="98"/>
    </row>
    <row r="40" spans="1:6" x14ac:dyDescent="0.2">
      <c r="A40" s="98"/>
      <c r="B40" s="98" t="s">
        <v>132</v>
      </c>
      <c r="C40" s="98"/>
      <c r="D40" s="98"/>
      <c r="E40" s="98"/>
      <c r="F40" s="98"/>
    </row>
    <row r="41" spans="1:6" x14ac:dyDescent="0.2">
      <c r="A41" s="98"/>
      <c r="B41" s="98" t="s">
        <v>133</v>
      </c>
      <c r="C41" s="98"/>
      <c r="D41" s="98"/>
      <c r="E41" s="98"/>
      <c r="F41" s="98"/>
    </row>
    <row r="42" spans="1:6" x14ac:dyDescent="0.2">
      <c r="A42" s="98"/>
      <c r="B42" s="98"/>
      <c r="C42" s="98"/>
      <c r="D42" s="98"/>
      <c r="E42" s="98"/>
      <c r="F42" s="98"/>
    </row>
    <row r="43" spans="1:6" x14ac:dyDescent="0.2">
      <c r="A43" s="98" t="s">
        <v>84</v>
      </c>
      <c r="B43" s="98" t="s">
        <v>134</v>
      </c>
      <c r="C43" s="98"/>
      <c r="D43" s="98"/>
      <c r="E43" s="98"/>
      <c r="F43" s="98"/>
    </row>
    <row r="44" spans="1:6" x14ac:dyDescent="0.2">
      <c r="A44" s="98"/>
      <c r="B44" s="98" t="s">
        <v>135</v>
      </c>
      <c r="C44" s="98"/>
      <c r="D44" s="98"/>
      <c r="E44" s="98"/>
      <c r="F44" s="98"/>
    </row>
    <row r="45" spans="1:6" x14ac:dyDescent="0.2">
      <c r="A45" s="98"/>
      <c r="B45" s="98" t="s">
        <v>136</v>
      </c>
      <c r="C45" s="98"/>
      <c r="D45" s="98"/>
      <c r="E45" s="98"/>
      <c r="F45" s="98"/>
    </row>
    <row r="46" spans="1:6" x14ac:dyDescent="0.2">
      <c r="A46" s="98"/>
      <c r="B46" s="98" t="s">
        <v>137</v>
      </c>
      <c r="C46" s="98"/>
      <c r="D46" s="98"/>
      <c r="E46" s="98"/>
      <c r="F46" s="98"/>
    </row>
    <row r="47" spans="1:6" x14ac:dyDescent="0.2">
      <c r="A47" s="98"/>
      <c r="B47" s="98" t="s">
        <v>138</v>
      </c>
      <c r="C47" s="98"/>
      <c r="D47" s="98"/>
      <c r="E47" s="98"/>
      <c r="F47" s="98"/>
    </row>
    <row r="48" spans="1:6" x14ac:dyDescent="0.2">
      <c r="A48" s="98"/>
      <c r="B48" s="98"/>
      <c r="C48" s="98"/>
      <c r="D48" s="98"/>
      <c r="E48" s="98"/>
      <c r="F48" s="98"/>
    </row>
    <row r="49" spans="1:6" ht="39.75" customHeight="1" x14ac:dyDescent="0.2">
      <c r="A49" s="122" t="s">
        <v>139</v>
      </c>
      <c r="B49" s="98"/>
      <c r="C49" s="98"/>
      <c r="D49" s="98"/>
      <c r="E49" s="98"/>
      <c r="F49" s="98"/>
    </row>
    <row r="50" spans="1:6" x14ac:dyDescent="0.2">
      <c r="A50" s="98"/>
      <c r="B50" s="98"/>
      <c r="C50" s="98"/>
      <c r="D50" s="98"/>
      <c r="E50" s="98"/>
      <c r="F50" s="98"/>
    </row>
    <row r="51" spans="1:6" ht="15" x14ac:dyDescent="0.25">
      <c r="A51" s="98" t="s">
        <v>140</v>
      </c>
      <c r="B51" s="98" t="s">
        <v>134</v>
      </c>
      <c r="C51" s="99" t="s">
        <v>141</v>
      </c>
      <c r="D51" s="99"/>
      <c r="E51" s="98"/>
      <c r="F51" s="99"/>
    </row>
    <row r="52" spans="1:6" ht="15" x14ac:dyDescent="0.25">
      <c r="A52" s="98"/>
      <c r="B52" s="98" t="s">
        <v>135</v>
      </c>
      <c r="C52" s="99" t="s">
        <v>142</v>
      </c>
      <c r="D52" s="99"/>
      <c r="E52" s="98"/>
      <c r="F52" s="99"/>
    </row>
    <row r="53" spans="1:6" ht="15" x14ac:dyDescent="0.25">
      <c r="A53" s="98"/>
      <c r="B53" s="98" t="s">
        <v>136</v>
      </c>
      <c r="C53" s="99" t="s">
        <v>143</v>
      </c>
      <c r="D53" s="99"/>
      <c r="E53" s="98"/>
      <c r="F53" s="99"/>
    </row>
    <row r="54" spans="1:6" ht="15" x14ac:dyDescent="0.25">
      <c r="A54" s="98"/>
      <c r="B54" s="98" t="s">
        <v>137</v>
      </c>
      <c r="C54" s="99" t="s">
        <v>144</v>
      </c>
      <c r="D54" s="99"/>
      <c r="E54" s="98"/>
      <c r="F54" s="99"/>
    </row>
    <row r="55" spans="1:6" ht="15" x14ac:dyDescent="0.25">
      <c r="A55" s="98"/>
      <c r="B55" s="98" t="s">
        <v>138</v>
      </c>
      <c r="C55" s="99" t="s">
        <v>145</v>
      </c>
      <c r="D55" s="99"/>
      <c r="E55" s="98"/>
      <c r="F55" s="99"/>
    </row>
  </sheetData>
  <sheetProtection algorithmName="SHA-512" hashValue="ak44ixJJy9FVMtT3Dv/HkSacpvUueIhoOKmsYt/veUmUXssCGW8b4ycDinS48bSVma9JVw2IKLZNmU8fokrvZA==" saltValue="5iqmeYZnwubeFCBXtYJ57w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A4E6E-9F98-4F61-ADEF-10104C5CED71}">
  <dimension ref="A1:N6"/>
  <sheetViews>
    <sheetView workbookViewId="0">
      <selection activeCell="B13" sqref="B13"/>
    </sheetView>
  </sheetViews>
  <sheetFormatPr baseColWidth="10" defaultColWidth="9.140625" defaultRowHeight="12.75" x14ac:dyDescent="0.2"/>
  <cols>
    <col min="1" max="1" width="15" bestFit="1" customWidth="1"/>
    <col min="2" max="2" width="61.28515625" style="123" customWidth="1"/>
  </cols>
  <sheetData>
    <row r="1" spans="1:14" x14ac:dyDescent="0.2">
      <c r="A1" s="97" t="s">
        <v>31</v>
      </c>
      <c r="B1" s="122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</row>
    <row r="2" spans="1:14" x14ac:dyDescent="0.2">
      <c r="A2" s="98"/>
      <c r="B2" s="122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</row>
    <row r="3" spans="1:14" ht="38.25" x14ac:dyDescent="0.2">
      <c r="A3" s="98" t="s">
        <v>146</v>
      </c>
      <c r="B3" s="122" t="s">
        <v>147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</row>
    <row r="4" spans="1:14" x14ac:dyDescent="0.2">
      <c r="A4" s="98"/>
      <c r="B4" s="122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</row>
    <row r="5" spans="1:14" x14ac:dyDescent="0.2">
      <c r="A5" s="98"/>
      <c r="B5" s="122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</row>
    <row r="6" spans="1:14" ht="38.25" x14ac:dyDescent="0.2">
      <c r="A6" s="98" t="s">
        <v>148</v>
      </c>
      <c r="B6" s="122" t="s">
        <v>149</v>
      </c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</row>
  </sheetData>
  <sheetProtection algorithmName="SHA-512" hashValue="Z5gOrjRGYPGiObd+gfviKDnPrcWYTh58N6bF4t3MpFsBmmFetGo0NBnYkL5P0FQha2RkhjY+qh4gyXtxitzHdg==" saltValue="0N3HMbnh/O5ker4v2oayyA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F6EAC3263C3847BCDAE15B6888977C" ma:contentTypeVersion="8" ma:contentTypeDescription="Create a new document." ma:contentTypeScope="" ma:versionID="ee31ae88014fdfeb2c48b14d4ec5fd52">
  <xsd:schema xmlns:xsd="http://www.w3.org/2001/XMLSchema" xmlns:xs="http://www.w3.org/2001/XMLSchema" xmlns:p="http://schemas.microsoft.com/office/2006/metadata/properties" xmlns:ns2="f2c0e971-d19e-4c82-a38e-cfb6466b6e05" xmlns:ns3="9486b4b4-25bc-47a7-8713-4aa3b0ebcc03" targetNamespace="http://schemas.microsoft.com/office/2006/metadata/properties" ma:root="true" ma:fieldsID="87882e6138953b8ee5e6032efc9351c8" ns2:_="" ns3:_="">
    <xsd:import namespace="f2c0e971-d19e-4c82-a38e-cfb6466b6e05"/>
    <xsd:import namespace="9486b4b4-25bc-47a7-8713-4aa3b0ebcc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c0e971-d19e-4c82-a38e-cfb6466b6e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86b4b4-25bc-47a7-8713-4aa3b0ebcc0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6B332D-35EE-47C1-A47B-E7CDA98A45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c0e971-d19e-4c82-a38e-cfb6466b6e05"/>
    <ds:schemaRef ds:uri="9486b4b4-25bc-47a7-8713-4aa3b0ebcc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ADEF2A-A54D-4F7B-988C-2FE0A42895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F13318-F803-482F-ABEC-C4CFE1BA416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Variabelliste - informasjon</vt:lpstr>
      <vt:lpstr>Variabler - Velg variabler</vt:lpstr>
      <vt:lpstr>Kodelister</vt:lpstr>
      <vt:lpstr>Variabeldefinisjoner</vt:lpstr>
    </vt:vector>
  </TitlesOfParts>
  <Manager/>
  <Company>SSB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Lorentzen, Isabell Bjerkelund</dc:creator>
  <cp:keywords/>
  <dc:description/>
  <cp:lastModifiedBy>Erlingsen, Alexander Gunnar</cp:lastModifiedBy>
  <cp:revision/>
  <dcterms:created xsi:type="dcterms:W3CDTF">2014-09-19T11:00:35Z</dcterms:created>
  <dcterms:modified xsi:type="dcterms:W3CDTF">2026-03-20T11:42:42Z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0x0101001DF6EAC3263C3847BCDAE15B6888977C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